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evenue Model" sheetId="2" state="visible" r:id="rId2"/>
    <sheet name="Income Statement" sheetId="3" state="visible" r:id="rId3"/>
    <sheet name="Cash Flow" sheetId="4" state="visible" r:id="rId4"/>
    <sheet name="Balance Sheet" sheetId="5" state="visible" r:id="rId5"/>
    <sheet name="Scenarios" sheetId="6" state="visible" r:id="rId6"/>
    <sheet name="DCF Inputs" sheetId="7" state="visible" r:id="rId7"/>
    <sheet name="DCF" sheetId="8" state="visible" r:id="rId8"/>
    <sheet name="Sensitivity" sheetId="9" state="visible" r:id="rId9"/>
    <sheet name="Comps" sheetId="10" state="visible" r:id="rId10"/>
    <sheet name="Precedents" sheetId="11" state="visible" r:id="rId11"/>
    <sheet name="Valuation Summary" sheetId="12" state="visible" r:id="rId12"/>
    <sheet name="Checks" sheetId="13" state="visible" r:id="rId13"/>
    <sheet name="Hist_Data" sheetId="14" state="visible" r:id="rId14"/>
  </sheets>
  <definedNames>
    <definedName name="Scenario">'Scenarios'!$C$4</definedName>
    <definedName name="Revenue_2026E">'Income Statement'!$G$7</definedName>
    <definedName name="NI_Parent_2026E">'Income Statement'!$G$68</definedName>
    <definedName name="EPS_2026E">'Income Statement'!$G$75</definedName>
    <definedName name="UFCF_2026E">'DCF Inputs'!$G$15</definedName>
    <definedName name="Revenue_2027E">'Income Statement'!$H$7</definedName>
    <definedName name="NI_Parent_2027E">'Income Statement'!$H$68</definedName>
    <definedName name="EPS_2027E">'Income Statement'!$H$75</definedName>
    <definedName name="UFCF_2027E">'DCF Inputs'!$H$15</definedName>
    <definedName name="Revenue_2028E">'Income Statement'!$I$7</definedName>
    <definedName name="NI_Parent_2028E">'Income Statement'!$I$68</definedName>
    <definedName name="EPS_2028E">'Income Statement'!$I$75</definedName>
    <definedName name="UFCF_2028E">'DCF Inputs'!$I$15</definedName>
    <definedName name="Revenue_2029E">'Income Statement'!$J$7</definedName>
    <definedName name="NI_Parent_2029E">'Income Statement'!$J$68</definedName>
    <definedName name="EPS_2029E">'Income Statement'!$J$75</definedName>
    <definedName name="UFCF_2029E">'DCF Inputs'!$J$15</definedName>
    <definedName name="Revenue_2030E">'Income Statement'!$K$7</definedName>
    <definedName name="NI_Parent_2030E">'Income Statement'!$K$68</definedName>
    <definedName name="EPS_2030E">'Income Statement'!$K$75</definedName>
    <definedName name="UFCF_2030E">'DCF Inputs'!$K$15</definedName>
    <definedName name="NetDebt_2025A">'DCF Inputs'!$F$21</definedName>
    <definedName name="Minority_BV_2025A">'DCF Inputs'!$F$22</definedName>
    <definedName name="Shares">'DCF Inputs'!$F$26</definedName>
    <definedName name="Price">'DCF Inputs'!$F$30</definedName>
  </definedNames>
  <calcPr calcId="124519" fullCalcOnLoad="1"/>
</workbook>
</file>

<file path=xl/styles.xml><?xml version="1.0" encoding="utf-8"?>
<styleSheet xmlns="http://schemas.openxmlformats.org/spreadsheetml/2006/main">
  <numFmts count="15">
    <numFmt numFmtId="164" formatCode="0&quot;A&quot;"/>
    <numFmt numFmtId="165" formatCode="0&quot;E&quot;"/>
    <numFmt numFmtId="166" formatCode="#,##0.00;(#,##0.00);&quot;-&quot;"/>
    <numFmt numFmtId="167" formatCode="0.0%;(0.0%);&quot;-&quot;"/>
    <numFmt numFmtId="168" formatCode="0.0000"/>
    <numFmt numFmtId="169" formatCode="0.00000"/>
    <numFmt numFmtId="170" formatCode="#,##0.0"/>
    <numFmt numFmtId="171" formatCode="#,##0.000"/>
    <numFmt numFmtId="172" formatCode="0.000"/>
    <numFmt numFmtId="173" formatCode="0.0"/>
    <numFmt numFmtId="174" formatCode="0.0&quot;x&quot;"/>
    <numFmt numFmtId="175" formatCode="0.00&quot;x&quot;"/>
    <numFmt numFmtId="176" formatCode="0.0%"/>
    <numFmt numFmtId="177" formatCode="+#,##0;-#,##0;0"/>
    <numFmt numFmtId="178" formatCode="+0.00;-0.00;0.00"/>
  </numFmts>
  <fonts count="27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FFFFFF"/>
    </font>
    <font>
      <b val="1"/>
      <color rgb="00C00000"/>
    </font>
    <font>
      <b val="1"/>
      <color rgb="000000FF"/>
    </font>
    <font>
      <b val="1"/>
    </font>
    <font>
      <b val="1"/>
      <color rgb="001F3864"/>
    </font>
    <font/>
    <font>
      <color rgb="00595959"/>
      <sz val="9"/>
    </font>
    <font>
      <b val="1"/>
      <sz val="9"/>
    </font>
    <font>
      <color rgb="000000FF"/>
    </font>
    <font>
      <b val="1"/>
      <color rgb="001F3864"/>
      <sz val="14"/>
    </font>
    <font>
      <b val="1"/>
      <color rgb="001F3864"/>
      <sz val="11"/>
    </font>
    <font>
      <b val="1"/>
      <color rgb="00000000"/>
    </font>
    <font>
      <color rgb="00000000"/>
    </font>
    <font>
      <color rgb="00008000"/>
    </font>
    <font>
      <b val="1"/>
      <color rgb="00008000"/>
    </font>
    <font>
      <sz val="9"/>
    </font>
    <font>
      <color rgb="000000FF"/>
      <sz val="10"/>
    </font>
    <font>
      <color rgb="00000000"/>
      <sz val="10"/>
    </font>
    <font>
      <color rgb="00008000"/>
      <sz val="10"/>
    </font>
    <font>
      <b val="1"/>
      <color rgb="00000000"/>
      <sz val="10"/>
    </font>
    <font>
      <b val="1"/>
      <color rgb="00008000"/>
      <sz val="10"/>
    </font>
    <font>
      <b val="1"/>
      <color rgb="00FFFFFF"/>
      <sz val="10"/>
    </font>
    <font>
      <b val="1"/>
      <color rgb="000000FF"/>
      <sz val="10"/>
    </font>
    <font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vertical="top" wrapText="1"/>
    </xf>
    <xf numFmtId="2" fontId="17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65" fontId="3" fillId="2" borderId="0" applyAlignment="1" pivotButton="0" quotePrefix="0" xfId="0">
      <alignment horizontal="center"/>
    </xf>
    <xf numFmtId="0" fontId="7" fillId="4" borderId="0" pivotButton="0" quotePrefix="0" xfId="0"/>
    <xf numFmtId="0" fontId="0" fillId="4" borderId="0" pivotButton="0" quotePrefix="0" xfId="0"/>
    <xf numFmtId="0" fontId="10" fillId="0" borderId="0" pivotButton="0" quotePrefix="0" xfId="0"/>
    <xf numFmtId="166" fontId="11" fillId="0" borderId="0" pivotButton="0" quotePrefix="0" xfId="0"/>
    <xf numFmtId="1" fontId="11" fillId="0" borderId="0" pivotButton="0" quotePrefix="0" xfId="0"/>
    <xf numFmtId="1" fontId="0" fillId="0" borderId="0" pivotButton="0" quotePrefix="0" xfId="0"/>
    <xf numFmtId="3" fontId="11" fillId="0" borderId="0" pivotButton="0" quotePrefix="0" xfId="0"/>
    <xf numFmtId="166" fontId="0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166" fontId="15" fillId="0" borderId="0" pivotButton="0" quotePrefix="0" xfId="0"/>
    <xf numFmtId="166" fontId="11" fillId="5" borderId="0" pivotButton="0" quotePrefix="0" xfId="0"/>
    <xf numFmtId="166" fontId="15" fillId="5" borderId="0" pivotButton="0" quotePrefix="0" xfId="0"/>
    <xf numFmtId="3" fontId="11" fillId="5" borderId="0" pivotButton="0" quotePrefix="0" xfId="0"/>
    <xf numFmtId="3" fontId="16" fillId="0" borderId="0" pivotButton="0" quotePrefix="0" xfId="0"/>
    <xf numFmtId="166" fontId="14" fillId="5" borderId="0" pivotButton="0" quotePrefix="0" xfId="0"/>
    <xf numFmtId="166" fontId="14" fillId="0" borderId="0" pivotButton="0" quotePrefix="0" xfId="0"/>
    <xf numFmtId="166" fontId="5" fillId="5" borderId="0" pivotButton="0" quotePrefix="0" xfId="0"/>
    <xf numFmtId="167" fontId="15" fillId="5" borderId="0" pivotButton="0" quotePrefix="0" xfId="0"/>
    <xf numFmtId="167" fontId="11" fillId="0" borderId="0" pivotButton="0" quotePrefix="0" xfId="0"/>
    <xf numFmtId="168" fontId="11" fillId="5" borderId="0" pivotButton="0" quotePrefix="0" xfId="0"/>
    <xf numFmtId="168" fontId="16" fillId="0" borderId="0" pivotButton="0" quotePrefix="0" xfId="0"/>
    <xf numFmtId="167" fontId="11" fillId="5" borderId="0" pivotButton="0" quotePrefix="0" xfId="0"/>
    <xf numFmtId="167" fontId="15" fillId="0" borderId="0" pivotButton="0" quotePrefix="0" xfId="0"/>
    <xf numFmtId="0" fontId="3" fillId="2" borderId="0" pivotButton="0" quotePrefix="0" xfId="0"/>
    <xf numFmtId="166" fontId="17" fillId="0" borderId="0" pivotButton="0" quotePrefix="0" xfId="0"/>
    <xf numFmtId="167" fontId="0" fillId="0" borderId="0" pivotButton="0" quotePrefix="0" xfId="0"/>
    <xf numFmtId="166" fontId="16" fillId="5" borderId="0" pivotButton="0" quotePrefix="0" xfId="0"/>
    <xf numFmtId="166" fontId="16" fillId="0" borderId="0" pivotButton="0" quotePrefix="0" xfId="0"/>
    <xf numFmtId="169" fontId="15" fillId="5" borderId="0" pivotButton="0" quotePrefix="0" xfId="0"/>
    <xf numFmtId="169" fontId="15" fillId="0" borderId="0" pivotButton="0" quotePrefix="0" xfId="0"/>
    <xf numFmtId="169" fontId="11" fillId="0" borderId="0" pivotButton="0" quotePrefix="0" xfId="0"/>
    <xf numFmtId="170" fontId="15" fillId="5" borderId="0" pivotButton="0" quotePrefix="0" xfId="0"/>
    <xf numFmtId="170" fontId="15" fillId="0" borderId="0" pivotButton="0" quotePrefix="0" xfId="0"/>
    <xf numFmtId="10" fontId="15" fillId="5" borderId="0" pivotButton="0" quotePrefix="0" xfId="0"/>
    <xf numFmtId="10" fontId="11" fillId="0" borderId="0" pivotButton="0" quotePrefix="0" xfId="0"/>
    <xf numFmtId="171" fontId="11" fillId="5" borderId="0" pivotButton="0" quotePrefix="0" xfId="0"/>
    <xf numFmtId="171" fontId="11" fillId="0" borderId="0" pivotButton="0" quotePrefix="0" xfId="0"/>
    <xf numFmtId="172" fontId="11" fillId="5" borderId="0" pivotButton="0" quotePrefix="0" xfId="0"/>
    <xf numFmtId="172" fontId="15" fillId="0" borderId="0" pivotButton="0" quotePrefix="0" xfId="0"/>
    <xf numFmtId="173" fontId="15" fillId="5" borderId="0" pivotButton="0" quotePrefix="0" xfId="0"/>
    <xf numFmtId="173" fontId="11" fillId="0" borderId="0" pivotButton="0" quotePrefix="0" xfId="0"/>
    <xf numFmtId="3" fontId="15" fillId="5" borderId="0" pivotButton="0" quotePrefix="0" xfId="0"/>
    <xf numFmtId="172" fontId="14" fillId="5" borderId="0" pivotButton="0" quotePrefix="0" xfId="0"/>
    <xf numFmtId="172" fontId="14" fillId="0" borderId="0" pivotButton="0" quotePrefix="0" xfId="0"/>
    <xf numFmtId="174" fontId="15" fillId="5" borderId="0" pivotButton="0" quotePrefix="0" xfId="0"/>
    <xf numFmtId="174" fontId="15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165" fontId="3" fillId="2" borderId="0" pivotButton="0" quotePrefix="0" xfId="0"/>
    <xf numFmtId="168" fontId="11" fillId="0" borderId="0" pivotButton="0" quotePrefix="0" xfId="0"/>
    <xf numFmtId="168" fontId="14" fillId="0" borderId="0" pivotButton="0" quotePrefix="0" xfId="0"/>
    <xf numFmtId="3" fontId="14" fillId="0" borderId="0" pivotButton="0" quotePrefix="0" xfId="0"/>
    <xf numFmtId="1" fontId="14" fillId="0" borderId="0" pivotButton="0" quotePrefix="0" xfId="0"/>
    <xf numFmtId="167" fontId="14" fillId="0" borderId="0" pivotButton="0" quotePrefix="0" xfId="0"/>
    <xf numFmtId="0" fontId="7" fillId="0" borderId="0" pivotButton="0" quotePrefix="0" xfId="0"/>
    <xf numFmtId="172" fontId="11" fillId="0" borderId="0" pivotButton="0" quotePrefix="0" xfId="0"/>
    <xf numFmtId="2" fontId="11" fillId="0" borderId="0" pivotButton="0" quotePrefix="0" xfId="0"/>
    <xf numFmtId="0" fontId="10" fillId="0" borderId="0" applyAlignment="1" pivotButton="0" quotePrefix="0" xfId="0">
      <alignment/>
    </xf>
    <xf numFmtId="0" fontId="18" fillId="0" borderId="0" applyAlignment="1" pivotButton="0" quotePrefix="0" xfId="0">
      <alignment/>
    </xf>
    <xf numFmtId="167" fontId="16" fillId="5" borderId="0" pivotButton="0" quotePrefix="0" xfId="0"/>
    <xf numFmtId="167" fontId="16" fillId="0" borderId="0" pivotButton="0" quotePrefix="0" xfId="0"/>
    <xf numFmtId="171" fontId="16" fillId="0" borderId="0" pivotButton="0" quotePrefix="0" xfId="0"/>
    <xf numFmtId="2" fontId="15" fillId="5" borderId="0" pivotButton="0" quotePrefix="0" xfId="0"/>
    <xf numFmtId="2" fontId="15" fillId="0" borderId="0" pivotButton="0" quotePrefix="0" xfId="0"/>
    <xf numFmtId="2" fontId="11" fillId="5" borderId="0" pivotButton="0" quotePrefix="0" xfId="0"/>
    <xf numFmtId="175" fontId="15" fillId="5" borderId="0" pivotButton="0" quotePrefix="0" xfId="0"/>
    <xf numFmtId="175" fontId="15" fillId="0" borderId="0" pivotButton="0" quotePrefix="0" xfId="0"/>
    <xf numFmtId="10" fontId="19" fillId="3" borderId="0" pivotButton="0" quotePrefix="0" xfId="0"/>
    <xf numFmtId="2" fontId="19" fillId="3" borderId="0" pivotButton="0" quotePrefix="0" xfId="0"/>
    <xf numFmtId="10" fontId="20" fillId="0" borderId="0" pivotButton="0" quotePrefix="0" xfId="0"/>
    <xf numFmtId="10" fontId="21" fillId="0" borderId="0" pivotButton="0" quotePrefix="0" xfId="0"/>
    <xf numFmtId="166" fontId="21" fillId="0" borderId="0" pivotButton="0" quotePrefix="0" xfId="0"/>
    <xf numFmtId="166" fontId="20" fillId="0" borderId="0" pivotButton="0" quotePrefix="0" xfId="0"/>
    <xf numFmtId="176" fontId="20" fillId="0" borderId="0" pivotButton="0" quotePrefix="0" xfId="0"/>
    <xf numFmtId="9" fontId="19" fillId="3" borderId="0" pivotButton="0" quotePrefix="0" xfId="0"/>
    <xf numFmtId="166" fontId="19" fillId="3" borderId="0" pivotButton="0" quotePrefix="0" xfId="0"/>
    <xf numFmtId="0" fontId="3" fillId="2" borderId="0" applyAlignment="1" pivotButton="0" quotePrefix="0" xfId="0">
      <alignment horizontal="center" wrapText="1"/>
    </xf>
    <xf numFmtId="165" fontId="3" fillId="2" borderId="0" applyAlignment="1" pivotButton="0" quotePrefix="0" xfId="0">
      <alignment horizontal="center" wrapText="1"/>
    </xf>
    <xf numFmtId="3" fontId="21" fillId="0" borderId="0" pivotButton="0" quotePrefix="0" xfId="0"/>
    <xf numFmtId="3" fontId="20" fillId="0" borderId="0" pivotButton="0" quotePrefix="0" xfId="0"/>
    <xf numFmtId="168" fontId="20" fillId="0" borderId="0" pivotButton="0" quotePrefix="0" xfId="0"/>
    <xf numFmtId="166" fontId="22" fillId="0" borderId="0" pivotButton="0" quotePrefix="0" xfId="0"/>
    <xf numFmtId="167" fontId="21" fillId="0" borderId="0" pivotButton="0" quotePrefix="0" xfId="0"/>
    <xf numFmtId="167" fontId="20" fillId="0" borderId="0" pivotButton="0" quotePrefix="0" xfId="0"/>
    <xf numFmtId="166" fontId="23" fillId="0" borderId="0" pivotButton="0" quotePrefix="0" xfId="0"/>
    <xf numFmtId="1" fontId="20" fillId="0" borderId="0" pivotButton="0" quotePrefix="0" xfId="0"/>
    <xf numFmtId="171" fontId="21" fillId="0" borderId="0" pivotButton="0" quotePrefix="0" xfId="0"/>
    <xf numFmtId="2" fontId="22" fillId="0" borderId="0" pivotButton="0" quotePrefix="0" xfId="0"/>
    <xf numFmtId="2" fontId="21" fillId="0" borderId="0" pivotButton="0" quotePrefix="0" xfId="0"/>
    <xf numFmtId="176" fontId="24" fillId="2" borderId="0" applyAlignment="1" pivotButton="0" quotePrefix="0" xfId="0">
      <alignment horizontal="center" wrapText="1"/>
    </xf>
    <xf numFmtId="10" fontId="22" fillId="0" borderId="0" pivotButton="0" quotePrefix="0" xfId="0"/>
    <xf numFmtId="2" fontId="20" fillId="0" borderId="0" pivotButton="0" quotePrefix="0" xfId="0"/>
    <xf numFmtId="177" fontId="24" fillId="2" borderId="0" applyAlignment="1" pivotButton="0" quotePrefix="0" xfId="0">
      <alignment horizontal="center" wrapText="1"/>
    </xf>
    <xf numFmtId="178" fontId="25" fillId="0" borderId="0" pivotButton="0" quotePrefix="0" xfId="0"/>
    <xf numFmtId="2" fontId="19" fillId="0" borderId="0" pivotButton="0" quotePrefix="0" xfId="0"/>
    <xf numFmtId="1" fontId="24" fillId="2" borderId="0" applyAlignment="1" pivotButton="0" quotePrefix="0" xfId="0">
      <alignment horizontal="center" wrapText="1"/>
    </xf>
    <xf numFmtId="9" fontId="25" fillId="0" borderId="0" pivotButton="0" quotePrefix="0" xfId="0"/>
    <xf numFmtId="174" fontId="19" fillId="0" borderId="0" pivotButton="0" quotePrefix="0" xfId="0"/>
    <xf numFmtId="175" fontId="19" fillId="0" borderId="0" pivotButton="0" quotePrefix="0" xfId="0"/>
    <xf numFmtId="176" fontId="19" fillId="0" borderId="0" pivotButton="0" quotePrefix="0" xfId="0"/>
    <xf numFmtId="1" fontId="19" fillId="0" borderId="0" pivotButton="0" quotePrefix="0" xfId="0"/>
    <xf numFmtId="0" fontId="26" fillId="0" borderId="0" pivotButton="0" quotePrefix="0" xfId="0"/>
    <xf numFmtId="174" fontId="20" fillId="0" borderId="0" pivotButton="0" quotePrefix="0" xfId="0"/>
    <xf numFmtId="175" fontId="20" fillId="0" borderId="0" pivotButton="0" quotePrefix="0" xfId="0"/>
    <xf numFmtId="174" fontId="21" fillId="0" borderId="0" pivotButton="0" quotePrefix="0" xfId="0"/>
    <xf numFmtId="175" fontId="21" fillId="0" borderId="0" pivotButton="0" quotePrefix="0" xfId="0"/>
    <xf numFmtId="176" fontId="21" fillId="0" borderId="0" pivotButton="0" quotePrefix="0" xfId="0"/>
    <xf numFmtId="172" fontId="21" fillId="0" borderId="0" pivotButton="0" quotePrefix="0" xfId="0"/>
    <xf numFmtId="172" fontId="20" fillId="0" borderId="0" pivotButton="0" quotePrefix="0" xfId="0"/>
    <xf numFmtId="0" fontId="20" fillId="0" borderId="0" pivotButton="0" quotePrefix="0" xfId="0"/>
    <xf numFmtId="166" fontId="19" fillId="0" borderId="0" pivotButton="0" quotePrefix="0" xfId="0"/>
    <xf numFmtId="9" fontId="20" fillId="0" borderId="0" pivotButton="0" quotePrefix="0" xfId="0"/>
    <xf numFmtId="0" fontId="22" fillId="0" borderId="0" pivotButton="0" quotePrefix="0" xfId="0"/>
    <xf numFmtId="172" fontId="19" fillId="0" borderId="0" pivotButton="0" quotePrefix="0" xfId="0"/>
    <xf numFmtId="0" fontId="15" fillId="5" borderId="0" pivotButton="0" quotePrefix="0" xfId="0"/>
    <xf numFmtId="0" fontId="15" fillId="0" borderId="0" pivotButton="0" quotePrefix="0" xfId="0"/>
    <xf numFmtId="4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中国核电（601985.SH）财务模型</t>
        </is>
      </c>
    </row>
    <row r="2">
      <c r="A2" s="2" t="inlineStr">
        <is>
          <t>Financial Model — China National Nuclear Power Co., Ltd.</t>
        </is>
      </c>
    </row>
    <row r="3">
      <c r="A3" s="2" t="inlineStr">
        <is>
          <t>编制日期</t>
        </is>
      </c>
      <c r="B3" s="3" t="inlineStr">
        <is>
          <t>2026-10-02（initiating-coverage · Task 2）</t>
        </is>
      </c>
    </row>
    <row r="4">
      <c r="A4" s="2" t="inlineStr">
        <is>
          <t>当前情景</t>
        </is>
      </c>
      <c r="B4" s="3" t="str">
        <f>Scenarios!D4</f>
        <v>Base 基准</v>
      </c>
    </row>
    <row r="5">
      <c r="A5" s="2" t="inlineStr">
        <is>
          <t>单位</t>
        </is>
      </c>
      <c r="B5" s="3" t="inlineStr">
        <is>
          <t>亿元人民币（另有注明除外）；电量 亿千瓦时；装机 万千瓦；电价 元/千瓦时（含增值税）</t>
        </is>
      </c>
    </row>
    <row r="6">
      <c r="A6" s="2" t="inlineStr">
        <is>
          <t>历史期</t>
        </is>
      </c>
      <c r="B6" s="3" t="inlineStr">
        <is>
          <t>2022A–2025A：2023 年年报（2022、2023）与 2025 年年报（2024、2025）合并报表；2026H1A 见利润表 M 列</t>
        </is>
      </c>
    </row>
    <row r="7">
      <c r="A7" s="2" t="inlineStr">
        <is>
          <t>预测期</t>
        </is>
      </c>
      <c r="B7" s="3" t="inlineStr">
        <is>
          <t>2026E–2030E：公式驱动；所有情景假设在 Scenarios 工作表（C4 切换），其余假设以蓝色输入列示在各表行内</t>
        </is>
      </c>
    </row>
    <row r="8">
      <c r="A8" s="2" t="inlineStr">
        <is>
          <t>颜色规范</t>
        </is>
      </c>
      <c r="B8" s="3" t="inlineStr">
        <is>
          <t>蓝色=硬编码输入/历史数据；黑色=公式；绿色=跨表链接；灰底=历史期</t>
        </is>
      </c>
    </row>
    <row r="9">
      <c r="A9" s="2" t="inlineStr">
        <is>
          <t>平衡机制</t>
        </is>
      </c>
      <c r="B9" s="3" t="inlineStr">
        <is>
          <t>长期借款为平衡项：净借款使期末现金=目标现金（收入×18%）；利息按期初有息负债计提，无循环引用</t>
        </is>
      </c>
    </row>
    <row r="10">
      <c r="A10" s="2" t="inlineStr">
        <is>
          <t>工作表</t>
        </is>
      </c>
      <c r="B10" s="3" t="inlineStr">
        <is>
          <t>Task 2：Revenue Model｜Income Statement｜Cash Flow｜Balance Sheet｜Scenarios｜DCF Inputs；Task 3：DCF｜Sensitivity｜Comps｜Precedents｜Valuation Summary；Checks｜Hist_Data</t>
        </is>
      </c>
    </row>
    <row r="11">
      <c r="A11" s="2" t="inlineStr">
        <is>
          <t>目标价（元，12 个月）</t>
        </is>
      </c>
      <c r="B11" s="4">
        <f>'Valuation Summary'!C12</f>
        <v>8.0</v>
      </c>
    </row>
    <row r="12">
      <c r="A12" s="2" t="inlineStr">
        <is>
          <t>评级</t>
        </is>
      </c>
      <c r="B12" s="5" t="str">
        <f>'Valuation Summary'!C17</f>
        <v>减持 SELL</v>
      </c>
    </row>
    <row r="13">
      <c r="A13" s="2" t="inlineStr">
        <is>
          <t>数据来源</t>
        </is>
      </c>
      <c r="B13" s="3" t="inlineStr">
        <is>
          <t>CNNP_601985/source/：CNNP_2023_年报.pdf、CNNP_2025_年报.pdf、CNNP_2026H1_半年报.pdf；行业及股价数据见 Task 1 研究文档</t>
        </is>
      </c>
    </row>
    <row r="14">
      <c r="A14" s="2" t="inlineStr">
        <is>
          <t>重要局限</t>
        </is>
      </c>
      <c r="B14" s="3" t="inlineStr">
        <is>
          <t>①2022–23A 与 2024–25A 成本分析表口径不同；②核电/新能源分产品收入为上网电量×综合电价推算；③2024 年末风光装机拆分为估算；④分地区 2022A/2024A 按同比倒推；⑤新机组造价按预算/容量，庄河、金七门 3–4 号为估计</t>
        </is>
      </c>
    </row>
    <row r="15">
      <c r="A15" s="2" t="inlineStr">
        <is>
          <t>校验</t>
        </is>
      </c>
      <c r="B15" s="3" t="str">
        <f>IF(Checks!C18,"全部校验通过 ✔","存在未通过校验 ✘ — 见 Checks")</f>
        <v>全部校验通过 ✔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L1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60" customWidth="1" min="12" max="12"/>
  </cols>
  <sheetData>
    <row r="1">
      <c r="A1" s="6" t="inlineStr">
        <is>
          <t>收入模型 Revenue Model — 中国核电 601985.SH</t>
        </is>
      </c>
    </row>
    <row r="2">
      <c r="A2" s="7" t="inlineStr">
        <is>
          <t>单位：亿元人民币（另有注明除外）｜蓝色=硬编码输入　黑色=公式　绿色=跨表链接｜A=实际 E=预测</t>
        </is>
      </c>
    </row>
    <row r="3">
      <c r="A3" s="8" t="inlineStr">
        <is>
          <t>项目 / Line item</t>
        </is>
      </c>
      <c r="B3" s="9" t="inlineStr">
        <is>
          <t>单位</t>
        </is>
      </c>
      <c r="C3" s="10" t="n">
        <v>2022</v>
      </c>
      <c r="D3" s="10" t="n">
        <v>2023</v>
      </c>
      <c r="E3" s="10" t="n">
        <v>2024</v>
      </c>
      <c r="F3" s="10" t="n">
        <v>2025</v>
      </c>
      <c r="G3" s="11" t="n">
        <v>2026</v>
      </c>
      <c r="H3" s="11" t="n">
        <v>2027</v>
      </c>
      <c r="I3" s="11" t="n">
        <v>2028</v>
      </c>
      <c r="J3" s="11" t="n">
        <v>2029</v>
      </c>
      <c r="K3" s="11" t="n">
        <v>2030</v>
      </c>
      <c r="L3" s="9" t="inlineStr">
        <is>
          <t>来源 / 说明</t>
        </is>
      </c>
    </row>
    <row r="6">
      <c r="A6" s="12" t="inlineStr">
        <is>
          <t>A. 核电机组投产计划 Nuclear pipeline（年报 2025 第 17、33 页；2026 半年报第 11 页）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</row>
    <row r="7">
      <c r="A7" s="14" t="inlineStr">
        <is>
          <t>机组 Unit</t>
        </is>
      </c>
      <c r="B7" s="14" t="inlineStr">
        <is>
          <t>区域</t>
        </is>
      </c>
      <c r="C7" s="14" t="inlineStr">
        <is>
          <t>容量 万kW</t>
        </is>
      </c>
      <c r="D7" s="14" t="inlineStr">
        <is>
          <t>计划商运年</t>
        </is>
      </c>
      <c r="E7" s="14" t="inlineStr">
        <is>
          <t>情景商运年</t>
        </is>
      </c>
      <c r="F7" s="14" t="inlineStr">
        <is>
          <t>单位造价 元/kW</t>
        </is>
      </c>
      <c r="G7" s="14" t="inlineStr">
        <is>
          <t>← 各年平均装机贡献（万千瓦） 2026E–2030E →</t>
        </is>
      </c>
      <c r="H7" s="14" t="inlineStr"/>
      <c r="I7" s="14" t="inlineStr"/>
      <c r="J7" s="14" t="inlineStr"/>
      <c r="K7" s="14" t="inlineStr"/>
      <c r="L7" s="14" t="inlineStr">
        <is>
          <t>预算/说明</t>
        </is>
      </c>
    </row>
    <row r="8">
      <c r="A8" t="inlineStr">
        <is>
          <t xml:space="preserve">  田湾 7 号</t>
        </is>
      </c>
      <c r="B8" t="inlineStr">
        <is>
          <t>华东</t>
        </is>
      </c>
      <c r="C8" s="15" t="n">
        <v>126.5</v>
      </c>
      <c r="D8" s="16" t="n">
        <v>2026</v>
      </c>
      <c r="E8" s="17">
        <f>D8+'Scenarios'!$G$24</f>
        <v>2026.0</v>
      </c>
      <c r="F8" s="18" t="n">
        <v>20011</v>
      </c>
      <c r="G8" s="19">
        <f>IF(G$3&gt;$E8,$C8,IF(G$3=$E8,$C8*'Scenarios'!G$30,0))</f>
        <v>50.6</v>
      </c>
      <c r="H8" s="19">
        <f>IF(H$3&gt;$E8,$C8,IF(H$3=$E8,$C8*'Scenarios'!H$30,0))</f>
        <v>126.5</v>
      </c>
      <c r="I8" s="19">
        <f>IF(I$3&gt;$E8,$C8,IF(I$3=$E8,$C8*'Scenarios'!I$30,0))</f>
        <v>126.5</v>
      </c>
      <c r="J8" s="19">
        <f>IF(J$3&gt;$E8,$C8,IF(J$3=$E8,$C8*'Scenarios'!J$30,0))</f>
        <v>126.5</v>
      </c>
      <c r="K8" s="19">
        <f>IF(K$3&gt;$E8,$C8,IF(K$3=$E8,$C8*'Scenarios'!K$30,0))</f>
        <v>126.5</v>
      </c>
      <c r="L8" s="20" t="inlineStr">
        <is>
          <t>田湾 7、8 号预算 506.29 亿；2026-08 首次装料</t>
        </is>
      </c>
    </row>
    <row r="9">
      <c r="A9" t="inlineStr">
        <is>
          <t xml:space="preserve">  海南小堆 玲龙一号</t>
        </is>
      </c>
      <c r="B9" t="inlineStr">
        <is>
          <t>华南</t>
        </is>
      </c>
      <c r="C9" s="15" t="n">
        <v>12.5</v>
      </c>
      <c r="D9" s="16" t="n">
        <v>2026</v>
      </c>
      <c r="E9" s="17">
        <f>D9+'Scenarios'!$G$24</f>
        <v>2026.0</v>
      </c>
      <c r="F9" s="18" t="n">
        <v>30120</v>
      </c>
      <c r="G9" s="19">
        <f>IF(G$3&gt;$E9,$C9,IF(G$3=$E9,$C9*'Scenarios'!G$30,0))</f>
        <v>5.0</v>
      </c>
      <c r="H9" s="19">
        <f>IF(H$3&gt;$E9,$C9,IF(H$3=$E9,$C9*'Scenarios'!H$30,0))</f>
        <v>12.5</v>
      </c>
      <c r="I9" s="19">
        <f>IF(I$3&gt;$E9,$C9,IF(I$3=$E9,$C9*'Scenarios'!I$30,0))</f>
        <v>12.5</v>
      </c>
      <c r="J9" s="19">
        <f>IF(J$3&gt;$E9,$C9,IF(J$3=$E9,$C9*'Scenarios'!J$30,0))</f>
        <v>12.5</v>
      </c>
      <c r="K9" s="19">
        <f>IF(K$3&gt;$E9,$C9,IF(K$3=$E9,$C9*'Scenarios'!K$30,0))</f>
        <v>12.5</v>
      </c>
      <c r="L9" s="20" t="inlineStr">
        <is>
          <t>预算 37.65 亿；全球首个陆上商用 SMR</t>
        </is>
      </c>
    </row>
    <row r="10">
      <c r="A10" t="inlineStr">
        <is>
          <t xml:space="preserve">  徐大堡 3 号</t>
        </is>
      </c>
      <c r="B10" t="inlineStr">
        <is>
          <t>东北</t>
        </is>
      </c>
      <c r="C10" s="15" t="n">
        <v>127.4</v>
      </c>
      <c r="D10" s="16" t="n">
        <v>2027</v>
      </c>
      <c r="E10" s="17">
        <f>D10+'Scenarios'!$G$24</f>
        <v>2027.0</v>
      </c>
      <c r="F10" s="18" t="n">
        <v>20544</v>
      </c>
      <c r="G10" s="19">
        <f>IF(G$3&gt;$E10,$C10,IF(G$3=$E10,$C10*'Scenarios'!G$30,0))</f>
        <v>0.0</v>
      </c>
      <c r="H10" s="19">
        <f>IF(H$3&gt;$E10,$C10,IF(H$3=$E10,$C10*'Scenarios'!H$30,0))</f>
        <v>50.96000000000001</v>
      </c>
      <c r="I10" s="19">
        <f>IF(I$3&gt;$E10,$C10,IF(I$3=$E10,$C10*'Scenarios'!I$30,0))</f>
        <v>127.4</v>
      </c>
      <c r="J10" s="19">
        <f>IF(J$3&gt;$E10,$C10,IF(J$3=$E10,$C10*'Scenarios'!J$30,0))</f>
        <v>127.4</v>
      </c>
      <c r="K10" s="19">
        <f>IF(K$3&gt;$E10,$C10,IF(K$3=$E10,$C10*'Scenarios'!K$30,0))</f>
        <v>127.4</v>
      </c>
      <c r="L10" s="20" t="inlineStr">
        <is>
          <t>徐大堡 3、4 号预算 523.47 亿</t>
        </is>
      </c>
    </row>
    <row r="11">
      <c r="A11" t="inlineStr">
        <is>
          <t xml:space="preserve">  三门 3 号</t>
        </is>
      </c>
      <c r="B11" t="inlineStr">
        <is>
          <t>华东</t>
        </is>
      </c>
      <c r="C11" s="15" t="n">
        <v>125.1</v>
      </c>
      <c r="D11" s="16" t="n">
        <v>2027</v>
      </c>
      <c r="E11" s="17">
        <f>D11+'Scenarios'!$G$24</f>
        <v>2027.0</v>
      </c>
      <c r="F11" s="18" t="n">
        <v>18455</v>
      </c>
      <c r="G11" s="19">
        <f>IF(G$3&gt;$E11,$C11,IF(G$3=$E11,$C11*'Scenarios'!G$30,0))</f>
        <v>0.0</v>
      </c>
      <c r="H11" s="19">
        <f>IF(H$3&gt;$E11,$C11,IF(H$3=$E11,$C11*'Scenarios'!H$30,0))</f>
        <v>50.04</v>
      </c>
      <c r="I11" s="19">
        <f>IF(I$3&gt;$E11,$C11,IF(I$3=$E11,$C11*'Scenarios'!I$30,0))</f>
        <v>125.1</v>
      </c>
      <c r="J11" s="19">
        <f>IF(J$3&gt;$E11,$C11,IF(J$3=$E11,$C11*'Scenarios'!J$30,0))</f>
        <v>125.1</v>
      </c>
      <c r="K11" s="19">
        <f>IF(K$3&gt;$E11,$C11,IF(K$3=$E11,$C11*'Scenarios'!K$30,0))</f>
        <v>125.1</v>
      </c>
      <c r="L11" s="20" t="inlineStr">
        <is>
          <t>三门 3、4 号预算 461.75 亿</t>
        </is>
      </c>
    </row>
    <row r="12">
      <c r="A12" t="inlineStr">
        <is>
          <t xml:space="preserve">  田湾 8 号</t>
        </is>
      </c>
      <c r="B12" t="inlineStr">
        <is>
          <t>华东</t>
        </is>
      </c>
      <c r="C12" s="15" t="n">
        <v>126.5</v>
      </c>
      <c r="D12" s="16" t="n">
        <v>2027</v>
      </c>
      <c r="E12" s="17">
        <f>D12+'Scenarios'!$G$24</f>
        <v>2027.0</v>
      </c>
      <c r="F12" s="18" t="n">
        <v>20011</v>
      </c>
      <c r="G12" s="19">
        <f>IF(G$3&gt;$E12,$C12,IF(G$3=$E12,$C12*'Scenarios'!G$30,0))</f>
        <v>0.0</v>
      </c>
      <c r="H12" s="19">
        <f>IF(H$3&gt;$E12,$C12,IF(H$3=$E12,$C12*'Scenarios'!H$30,0))</f>
        <v>50.6</v>
      </c>
      <c r="I12" s="19">
        <f>IF(I$3&gt;$E12,$C12,IF(I$3=$E12,$C12*'Scenarios'!I$30,0))</f>
        <v>126.5</v>
      </c>
      <c r="J12" s="19">
        <f>IF(J$3&gt;$E12,$C12,IF(J$3=$E12,$C12*'Scenarios'!J$30,0))</f>
        <v>126.5</v>
      </c>
      <c r="K12" s="19">
        <f>IF(K$3&gt;$E12,$C12,IF(K$3=$E12,$C12*'Scenarios'!K$30,0))</f>
        <v>126.5</v>
      </c>
      <c r="L12" s="20" t="inlineStr">
        <is>
          <t>2026H1 启动冷试</t>
        </is>
      </c>
    </row>
    <row r="13">
      <c r="A13" t="inlineStr">
        <is>
          <t xml:space="preserve">  三门 4 号</t>
        </is>
      </c>
      <c r="B13" t="inlineStr">
        <is>
          <t>华东</t>
        </is>
      </c>
      <c r="C13" s="15" t="n">
        <v>125.1</v>
      </c>
      <c r="D13" s="16" t="n">
        <v>2027</v>
      </c>
      <c r="E13" s="17">
        <f>D13+'Scenarios'!$G$24</f>
        <v>2027.0</v>
      </c>
      <c r="F13" s="18" t="n">
        <v>18455</v>
      </c>
      <c r="G13" s="19">
        <f>IF(G$3&gt;$E13,$C13,IF(G$3=$E13,$C13*'Scenarios'!G$30,0))</f>
        <v>0.0</v>
      </c>
      <c r="H13" s="19">
        <f>IF(H$3&gt;$E13,$C13,IF(H$3=$E13,$C13*'Scenarios'!H$30,0))</f>
        <v>50.04</v>
      </c>
      <c r="I13" s="19">
        <f>IF(I$3&gt;$E13,$C13,IF(I$3=$E13,$C13*'Scenarios'!I$30,0))</f>
        <v>125.1</v>
      </c>
      <c r="J13" s="19">
        <f>IF(J$3&gt;$E13,$C13,IF(J$3=$E13,$C13*'Scenarios'!J$30,0))</f>
        <v>125.1</v>
      </c>
      <c r="K13" s="19">
        <f>IF(K$3&gt;$E13,$C13,IF(K$3=$E13,$C13*'Scenarios'!K$30,0))</f>
        <v>125.1</v>
      </c>
      <c r="L13" s="20" t="inlineStr"/>
    </row>
    <row r="14">
      <c r="A14" t="inlineStr">
        <is>
          <t xml:space="preserve">  徐大堡 1 号</t>
        </is>
      </c>
      <c r="B14" t="inlineStr">
        <is>
          <t>东北</t>
        </is>
      </c>
      <c r="C14" s="15" t="n">
        <v>129.1</v>
      </c>
      <c r="D14" s="16" t="n">
        <v>2028</v>
      </c>
      <c r="E14" s="17">
        <f>D14+'Scenarios'!$G$24</f>
        <v>2028.0</v>
      </c>
      <c r="F14" s="18" t="n">
        <v>16339</v>
      </c>
      <c r="G14" s="19">
        <f>IF(G$3&gt;$E14,$C14,IF(G$3=$E14,$C14*'Scenarios'!G$30,0))</f>
        <v>0.0</v>
      </c>
      <c r="H14" s="19">
        <f>IF(H$3&gt;$E14,$C14,IF(H$3=$E14,$C14*'Scenarios'!H$30,0))</f>
        <v>0.0</v>
      </c>
      <c r="I14" s="19">
        <f>IF(I$3&gt;$E14,$C14,IF(I$3=$E14,$C14*'Scenarios'!I$30,0))</f>
        <v>51.64</v>
      </c>
      <c r="J14" s="19">
        <f>IF(J$3&gt;$E14,$C14,IF(J$3=$E14,$C14*'Scenarios'!J$30,0))</f>
        <v>129.1</v>
      </c>
      <c r="K14" s="19">
        <f>IF(K$3&gt;$E14,$C14,IF(K$3=$E14,$C14*'Scenarios'!K$30,0))</f>
        <v>129.1</v>
      </c>
      <c r="L14" s="20" t="inlineStr">
        <is>
          <t>徐大堡 1、2 号预算 421.88 亿</t>
        </is>
      </c>
    </row>
    <row r="15">
      <c r="A15" t="inlineStr">
        <is>
          <t xml:space="preserve">  徐大堡 4 号</t>
        </is>
      </c>
      <c r="B15" t="inlineStr">
        <is>
          <t>东北</t>
        </is>
      </c>
      <c r="C15" s="15" t="n">
        <v>127.4</v>
      </c>
      <c r="D15" s="16" t="n">
        <v>2028</v>
      </c>
      <c r="E15" s="17">
        <f>D15+'Scenarios'!$G$24</f>
        <v>2028.0</v>
      </c>
      <c r="F15" s="18" t="n">
        <v>20544</v>
      </c>
      <c r="G15" s="19">
        <f>IF(G$3&gt;$E15,$C15,IF(G$3=$E15,$C15*'Scenarios'!G$30,0))</f>
        <v>0.0</v>
      </c>
      <c r="H15" s="19">
        <f>IF(H$3&gt;$E15,$C15,IF(H$3=$E15,$C15*'Scenarios'!H$30,0))</f>
        <v>0.0</v>
      </c>
      <c r="I15" s="19">
        <f>IF(I$3&gt;$E15,$C15,IF(I$3=$E15,$C15*'Scenarios'!I$30,0))</f>
        <v>50.96000000000001</v>
      </c>
      <c r="J15" s="19">
        <f>IF(J$3&gt;$E15,$C15,IF(J$3=$E15,$C15*'Scenarios'!J$30,0))</f>
        <v>127.4</v>
      </c>
      <c r="K15" s="19">
        <f>IF(K$3&gt;$E15,$C15,IF(K$3=$E15,$C15*'Scenarios'!K$30,0))</f>
        <v>127.4</v>
      </c>
      <c r="L15" s="20" t="inlineStr"/>
    </row>
    <row r="16">
      <c r="A16" t="inlineStr">
        <is>
          <t xml:space="preserve">  漳州 3 号</t>
        </is>
      </c>
      <c r="B16" t="inlineStr">
        <is>
          <t>华东</t>
        </is>
      </c>
      <c r="C16" s="15" t="n">
        <v>121.2</v>
      </c>
      <c r="D16" s="16" t="n">
        <v>2029</v>
      </c>
      <c r="E16" s="17">
        <f>D16+'Scenarios'!$G$24</f>
        <v>2029.0</v>
      </c>
      <c r="F16" s="18" t="n">
        <v>16362</v>
      </c>
      <c r="G16" s="19">
        <f>IF(G$3&gt;$E16,$C16,IF(G$3=$E16,$C16*'Scenarios'!G$30,0))</f>
        <v>0.0</v>
      </c>
      <c r="H16" s="19">
        <f>IF(H$3&gt;$E16,$C16,IF(H$3=$E16,$C16*'Scenarios'!H$30,0))</f>
        <v>0.0</v>
      </c>
      <c r="I16" s="19">
        <f>IF(I$3&gt;$E16,$C16,IF(I$3=$E16,$C16*'Scenarios'!I$30,0))</f>
        <v>0.0</v>
      </c>
      <c r="J16" s="19">
        <f>IF(J$3&gt;$E16,$C16,IF(J$3=$E16,$C16*'Scenarios'!J$30,0))</f>
        <v>48.480000000000004</v>
      </c>
      <c r="K16" s="19">
        <f>IF(K$3&gt;$E16,$C16,IF(K$3=$E16,$C16*'Scenarios'!K$30,0))</f>
        <v>121.2</v>
      </c>
      <c r="L16" s="20" t="inlineStr">
        <is>
          <t>漳州 3、4 号预算 396.62 亿</t>
        </is>
      </c>
    </row>
    <row r="17">
      <c r="A17" t="inlineStr">
        <is>
          <t xml:space="preserve">  徐大堡 2 号</t>
        </is>
      </c>
      <c r="B17" t="inlineStr">
        <is>
          <t>东北</t>
        </is>
      </c>
      <c r="C17" s="15" t="n">
        <v>129.1</v>
      </c>
      <c r="D17" s="16" t="n">
        <v>2029</v>
      </c>
      <c r="E17" s="17">
        <f>D17+'Scenarios'!$G$24</f>
        <v>2029.0</v>
      </c>
      <c r="F17" s="18" t="n">
        <v>16339</v>
      </c>
      <c r="G17" s="19">
        <f>IF(G$3&gt;$E17,$C17,IF(G$3=$E17,$C17*'Scenarios'!G$30,0))</f>
        <v>0.0</v>
      </c>
      <c r="H17" s="19">
        <f>IF(H$3&gt;$E17,$C17,IF(H$3=$E17,$C17*'Scenarios'!H$30,0))</f>
        <v>0.0</v>
      </c>
      <c r="I17" s="19">
        <f>IF(I$3&gt;$E17,$C17,IF(I$3=$E17,$C17*'Scenarios'!I$30,0))</f>
        <v>0.0</v>
      </c>
      <c r="J17" s="19">
        <f>IF(J$3&gt;$E17,$C17,IF(J$3=$E17,$C17*'Scenarios'!J$30,0))</f>
        <v>51.64</v>
      </c>
      <c r="K17" s="19">
        <f>IF(K$3&gt;$E17,$C17,IF(K$3=$E17,$C17*'Scenarios'!K$30,0))</f>
        <v>129.1</v>
      </c>
      <c r="L17" s="20" t="inlineStr"/>
    </row>
    <row r="18">
      <c r="A18" t="inlineStr">
        <is>
          <t xml:space="preserve">  漳州 4 号</t>
        </is>
      </c>
      <c r="B18" t="inlineStr">
        <is>
          <t>华东</t>
        </is>
      </c>
      <c r="C18" s="15" t="n">
        <v>121.2</v>
      </c>
      <c r="D18" s="16" t="n">
        <v>2029</v>
      </c>
      <c r="E18" s="17">
        <f>D18+'Scenarios'!$G$24</f>
        <v>2029.0</v>
      </c>
      <c r="F18" s="18" t="n">
        <v>16362</v>
      </c>
      <c r="G18" s="19">
        <f>IF(G$3&gt;$E18,$C18,IF(G$3=$E18,$C18*'Scenarios'!G$30,0))</f>
        <v>0.0</v>
      </c>
      <c r="H18" s="19">
        <f>IF(H$3&gt;$E18,$C18,IF(H$3=$E18,$C18*'Scenarios'!H$30,0))</f>
        <v>0.0</v>
      </c>
      <c r="I18" s="19">
        <f>IF(I$3&gt;$E18,$C18,IF(I$3=$E18,$C18*'Scenarios'!I$30,0))</f>
        <v>0.0</v>
      </c>
      <c r="J18" s="19">
        <f>IF(J$3&gt;$E18,$C18,IF(J$3=$E18,$C18*'Scenarios'!J$30,0))</f>
        <v>48.480000000000004</v>
      </c>
      <c r="K18" s="19">
        <f>IF(K$3&gt;$E18,$C18,IF(K$3=$E18,$C18*'Scenarios'!K$30,0))</f>
        <v>121.2</v>
      </c>
      <c r="L18" s="20" t="inlineStr"/>
    </row>
    <row r="19">
      <c r="A19" t="inlineStr">
        <is>
          <t xml:space="preserve">  金七门 1 号</t>
        </is>
      </c>
      <c r="B19" t="inlineStr">
        <is>
          <t>华东</t>
        </is>
      </c>
      <c r="C19" s="15" t="n">
        <v>121.5</v>
      </c>
      <c r="D19" s="16" t="n">
        <v>2030</v>
      </c>
      <c r="E19" s="17">
        <f>D19+'Scenarios'!$G$24</f>
        <v>2030.0</v>
      </c>
      <c r="F19" s="18" t="n">
        <v>18343</v>
      </c>
      <c r="G19" s="19">
        <f>IF(G$3&gt;$E19,$C19,IF(G$3=$E19,$C19*'Scenarios'!G$30,0))</f>
        <v>0.0</v>
      </c>
      <c r="H19" s="19">
        <f>IF(H$3&gt;$E19,$C19,IF(H$3=$E19,$C19*'Scenarios'!H$30,0))</f>
        <v>0.0</v>
      </c>
      <c r="I19" s="19">
        <f>IF(I$3&gt;$E19,$C19,IF(I$3=$E19,$C19*'Scenarios'!I$30,0))</f>
        <v>0.0</v>
      </c>
      <c r="J19" s="19">
        <f>IF(J$3&gt;$E19,$C19,IF(J$3=$E19,$C19*'Scenarios'!J$30,0))</f>
        <v>0.0</v>
      </c>
      <c r="K19" s="19">
        <f>IF(K$3&gt;$E19,$C19,IF(K$3=$E19,$C19*'Scenarios'!K$30,0))</f>
        <v>48.6</v>
      </c>
      <c r="L19" s="20" t="inlineStr">
        <is>
          <t>金七门 1、2 号预算 445.74 亿</t>
        </is>
      </c>
    </row>
    <row r="20">
      <c r="A20" t="inlineStr">
        <is>
          <t xml:space="preserve">  徐圩 1 号</t>
        </is>
      </c>
      <c r="B20" t="inlineStr">
        <is>
          <t>华东</t>
        </is>
      </c>
      <c r="C20" s="15" t="n">
        <v>122.2</v>
      </c>
      <c r="D20" s="16" t="n">
        <v>2031</v>
      </c>
      <c r="E20" s="17">
        <f>D20+'Scenarios'!$G$24</f>
        <v>2031.0</v>
      </c>
      <c r="F20" s="18" t="n">
        <v>23183</v>
      </c>
      <c r="G20" s="19">
        <f>IF(G$3&gt;$E20,$C20,IF(G$3=$E20,$C20*'Scenarios'!G$30,0))</f>
        <v>0.0</v>
      </c>
      <c r="H20" s="19">
        <f>IF(H$3&gt;$E20,$C20,IF(H$3=$E20,$C20*'Scenarios'!H$30,0))</f>
        <v>0.0</v>
      </c>
      <c r="I20" s="19">
        <f>IF(I$3&gt;$E20,$C20,IF(I$3=$E20,$C20*'Scenarios'!I$30,0))</f>
        <v>0.0</v>
      </c>
      <c r="J20" s="19">
        <f>IF(J$3&gt;$E20,$C20,IF(J$3=$E20,$C20*'Scenarios'!J$30,0))</f>
        <v>0.0</v>
      </c>
      <c r="K20" s="19">
        <f>IF(K$3&gt;$E20,$C20,IF(K$3=$E20,$C20*'Scenarios'!K$30,0))</f>
        <v>0.0</v>
      </c>
      <c r="L20" s="20" t="inlineStr">
        <is>
          <t>徐圩一期预算 719.61 亿（含高温堆，310.4 万kW）</t>
        </is>
      </c>
    </row>
    <row r="21">
      <c r="A21" t="inlineStr">
        <is>
          <t xml:space="preserve">  金七门 2 号</t>
        </is>
      </c>
      <c r="B21" t="inlineStr">
        <is>
          <t>华东</t>
        </is>
      </c>
      <c r="C21" s="15" t="n">
        <v>121.5</v>
      </c>
      <c r="D21" s="16" t="n">
        <v>2031</v>
      </c>
      <c r="E21" s="17">
        <f>D21+'Scenarios'!$G$24</f>
        <v>2031.0</v>
      </c>
      <c r="F21" s="18" t="n">
        <v>18343</v>
      </c>
      <c r="G21" s="19">
        <f>IF(G$3&gt;$E21,$C21,IF(G$3=$E21,$C21*'Scenarios'!G$30,0))</f>
        <v>0.0</v>
      </c>
      <c r="H21" s="19">
        <f>IF(H$3&gt;$E21,$C21,IF(H$3=$E21,$C21*'Scenarios'!H$30,0))</f>
        <v>0.0</v>
      </c>
      <c r="I21" s="19">
        <f>IF(I$3&gt;$E21,$C21,IF(I$3=$E21,$C21*'Scenarios'!I$30,0))</f>
        <v>0.0</v>
      </c>
      <c r="J21" s="19">
        <f>IF(J$3&gt;$E21,$C21,IF(J$3=$E21,$C21*'Scenarios'!J$30,0))</f>
        <v>0.0</v>
      </c>
      <c r="K21" s="19">
        <f>IF(K$3&gt;$E21,$C21,IF(K$3=$E21,$C21*'Scenarios'!K$30,0))</f>
        <v>0.0</v>
      </c>
      <c r="L21" s="20" t="inlineStr">
        <is>
          <t>2026-04 FCD；计划商运年为作者估计</t>
        </is>
      </c>
    </row>
    <row r="22">
      <c r="A22" t="inlineStr">
        <is>
          <t xml:space="preserve">  三门 6 号</t>
        </is>
      </c>
      <c r="B22" t="inlineStr">
        <is>
          <t>华东</t>
        </is>
      </c>
      <c r="C22" s="15" t="n">
        <v>121.5</v>
      </c>
      <c r="D22" s="16" t="n">
        <v>2031</v>
      </c>
      <c r="E22" s="17">
        <f>D22+'Scenarios'!$G$24</f>
        <v>2031.0</v>
      </c>
      <c r="F22" s="18" t="n">
        <v>16675</v>
      </c>
      <c r="G22" s="19">
        <f>IF(G$3&gt;$E22,$C22,IF(G$3=$E22,$C22*'Scenarios'!G$30,0))</f>
        <v>0.0</v>
      </c>
      <c r="H22" s="19">
        <f>IF(H$3&gt;$E22,$C22,IF(H$3=$E22,$C22*'Scenarios'!H$30,0))</f>
        <v>0.0</v>
      </c>
      <c r="I22" s="19">
        <f>IF(I$3&gt;$E22,$C22,IF(I$3=$E22,$C22*'Scenarios'!I$30,0))</f>
        <v>0.0</v>
      </c>
      <c r="J22" s="19">
        <f>IF(J$3&gt;$E22,$C22,IF(J$3=$E22,$C22*'Scenarios'!J$30,0))</f>
        <v>0.0</v>
      </c>
      <c r="K22" s="19">
        <f>IF(K$3&gt;$E22,$C22,IF(K$3=$E22,$C22*'Scenarios'!K$30,0))</f>
        <v>0.0</v>
      </c>
      <c r="L22" s="20" t="inlineStr">
        <is>
          <t>公司披露：计划 2031-10 建成</t>
        </is>
      </c>
    </row>
    <row r="23">
      <c r="A23" t="inlineStr">
        <is>
          <t xml:space="preserve">  三门 5 号</t>
        </is>
      </c>
      <c r="B23" t="inlineStr">
        <is>
          <t>华东</t>
        </is>
      </c>
      <c r="C23" s="15" t="n">
        <v>121.5</v>
      </c>
      <c r="D23" s="16" t="n">
        <v>2032</v>
      </c>
      <c r="E23" s="17">
        <f>D23+'Scenarios'!$G$24</f>
        <v>2032.0</v>
      </c>
      <c r="F23" s="18" t="n">
        <v>16675</v>
      </c>
      <c r="G23" s="19">
        <f>IF(G$3&gt;$E23,$C23,IF(G$3=$E23,$C23*'Scenarios'!G$30,0))</f>
        <v>0.0</v>
      </c>
      <c r="H23" s="19">
        <f>IF(H$3&gt;$E23,$C23,IF(H$3=$E23,$C23*'Scenarios'!H$30,0))</f>
        <v>0.0</v>
      </c>
      <c r="I23" s="19">
        <f>IF(I$3&gt;$E23,$C23,IF(I$3=$E23,$C23*'Scenarios'!I$30,0))</f>
        <v>0.0</v>
      </c>
      <c r="J23" s="19">
        <f>IF(J$3&gt;$E23,$C23,IF(J$3=$E23,$C23*'Scenarios'!J$30,0))</f>
        <v>0.0</v>
      </c>
      <c r="K23" s="19">
        <f>IF(K$3&gt;$E23,$C23,IF(K$3=$E23,$C23*'Scenarios'!K$30,0))</f>
        <v>0.0</v>
      </c>
      <c r="L23" s="20" t="inlineStr">
        <is>
          <t>公司披露：计划 2032-08 建成</t>
        </is>
      </c>
    </row>
    <row r="24">
      <c r="A24" t="inlineStr">
        <is>
          <t xml:space="preserve">  徐圩 2 号 + 高温堆</t>
        </is>
      </c>
      <c r="B24" t="inlineStr">
        <is>
          <t>华东</t>
        </is>
      </c>
      <c r="C24" s="15" t="n">
        <v>188.2</v>
      </c>
      <c r="D24" s="16" t="n">
        <v>2032</v>
      </c>
      <c r="E24" s="17">
        <f>D24+'Scenarios'!$G$24</f>
        <v>2032.0</v>
      </c>
      <c r="F24" s="18" t="n">
        <v>23183</v>
      </c>
      <c r="G24" s="19">
        <f>IF(G$3&gt;$E24,$C24,IF(G$3=$E24,$C24*'Scenarios'!G$30,0))</f>
        <v>0.0</v>
      </c>
      <c r="H24" s="19">
        <f>IF(H$3&gt;$E24,$C24,IF(H$3=$E24,$C24*'Scenarios'!H$30,0))</f>
        <v>0.0</v>
      </c>
      <c r="I24" s="19">
        <f>IF(I$3&gt;$E24,$C24,IF(I$3=$E24,$C24*'Scenarios'!I$30,0))</f>
        <v>0.0</v>
      </c>
      <c r="J24" s="19">
        <f>IF(J$3&gt;$E24,$C24,IF(J$3=$E24,$C24*'Scenarios'!J$30,0))</f>
        <v>0.0</v>
      </c>
      <c r="K24" s="19">
        <f>IF(K$3&gt;$E24,$C24,IF(K$3=$E24,$C24*'Scenarios'!K$30,0))</f>
        <v>0.0</v>
      </c>
      <c r="L24" s="20" t="inlineStr">
        <is>
          <t>计划商运年为作者估计</t>
        </is>
      </c>
    </row>
    <row r="25">
      <c r="A25" t="inlineStr">
        <is>
          <t xml:space="preserve">  庄河 1 号</t>
        </is>
      </c>
      <c r="B25" t="inlineStr">
        <is>
          <t>东北</t>
        </is>
      </c>
      <c r="C25" s="15" t="n">
        <v>125</v>
      </c>
      <c r="D25" s="16" t="n">
        <v>2032</v>
      </c>
      <c r="E25" s="17">
        <f>D25+'Scenarios'!$G$24</f>
        <v>2032.0</v>
      </c>
      <c r="F25" s="18" t="n">
        <v>18000</v>
      </c>
      <c r="G25" s="19">
        <f>IF(G$3&gt;$E25,$C25,IF(G$3=$E25,$C25*'Scenarios'!G$30,0))</f>
        <v>0.0</v>
      </c>
      <c r="H25" s="19">
        <f>IF(H$3&gt;$E25,$C25,IF(H$3=$E25,$C25*'Scenarios'!H$30,0))</f>
        <v>0.0</v>
      </c>
      <c r="I25" s="19">
        <f>IF(I$3&gt;$E25,$C25,IF(I$3=$E25,$C25*'Scenarios'!I$30,0))</f>
        <v>0.0</v>
      </c>
      <c r="J25" s="19">
        <f>IF(J$3&gt;$E25,$C25,IF(J$3=$E25,$C25*'Scenarios'!J$30,0))</f>
        <v>0.0</v>
      </c>
      <c r="K25" s="19">
        <f>IF(K$3&gt;$E25,$C25,IF(K$3=$E25,$C25*'Scenarios'!K$30,0))</f>
        <v>0.0</v>
      </c>
      <c r="L25" s="20" t="inlineStr">
        <is>
          <t>2026-07-31 核准；造价、商运年为作者估计</t>
        </is>
      </c>
    </row>
    <row r="26">
      <c r="A26" t="inlineStr">
        <is>
          <t xml:space="preserve">  庄河 2 号</t>
        </is>
      </c>
      <c r="B26" t="inlineStr">
        <is>
          <t>东北</t>
        </is>
      </c>
      <c r="C26" s="15" t="n">
        <v>125</v>
      </c>
      <c r="D26" s="16" t="n">
        <v>2033</v>
      </c>
      <c r="E26" s="17">
        <f>D26+'Scenarios'!$G$24</f>
        <v>2033.0</v>
      </c>
      <c r="F26" s="18" t="n">
        <v>18000</v>
      </c>
      <c r="G26" s="19">
        <f>IF(G$3&gt;$E26,$C26,IF(G$3=$E26,$C26*'Scenarios'!G$30,0))</f>
        <v>0.0</v>
      </c>
      <c r="H26" s="19">
        <f>IF(H$3&gt;$E26,$C26,IF(H$3=$E26,$C26*'Scenarios'!H$30,0))</f>
        <v>0.0</v>
      </c>
      <c r="I26" s="19">
        <f>IF(I$3&gt;$E26,$C26,IF(I$3=$E26,$C26*'Scenarios'!I$30,0))</f>
        <v>0.0</v>
      </c>
      <c r="J26" s="19">
        <f>IF(J$3&gt;$E26,$C26,IF(J$3=$E26,$C26*'Scenarios'!J$30,0))</f>
        <v>0.0</v>
      </c>
      <c r="K26" s="19">
        <f>IF(K$3&gt;$E26,$C26,IF(K$3=$E26,$C26*'Scenarios'!K$30,0))</f>
        <v>0.0</v>
      </c>
      <c r="L26" s="20" t="inlineStr"/>
    </row>
    <row r="27">
      <c r="A27" t="inlineStr">
        <is>
          <t xml:space="preserve">  金七门 3 号</t>
        </is>
      </c>
      <c r="B27" t="inlineStr">
        <is>
          <t>华东</t>
        </is>
      </c>
      <c r="C27" s="15" t="n">
        <v>123</v>
      </c>
      <c r="D27" s="16" t="n">
        <v>2032</v>
      </c>
      <c r="E27" s="17">
        <f>D27+'Scenarios'!$G$24</f>
        <v>2032.0</v>
      </c>
      <c r="F27" s="18" t="n">
        <v>18000</v>
      </c>
      <c r="G27" s="19">
        <f>IF(G$3&gt;$E27,$C27,IF(G$3=$E27,$C27*'Scenarios'!G$30,0))</f>
        <v>0.0</v>
      </c>
      <c r="H27" s="19">
        <f>IF(H$3&gt;$E27,$C27,IF(H$3=$E27,$C27*'Scenarios'!H$30,0))</f>
        <v>0.0</v>
      </c>
      <c r="I27" s="19">
        <f>IF(I$3&gt;$E27,$C27,IF(I$3=$E27,$C27*'Scenarios'!I$30,0))</f>
        <v>0.0</v>
      </c>
      <c r="J27" s="19">
        <f>IF(J$3&gt;$E27,$C27,IF(J$3=$E27,$C27*'Scenarios'!J$30,0))</f>
        <v>0.0</v>
      </c>
      <c r="K27" s="19">
        <f>IF(K$3&gt;$E27,$C27,IF(K$3=$E27,$C27*'Scenarios'!K$30,0))</f>
        <v>0.0</v>
      </c>
      <c r="L27" s="20" t="inlineStr">
        <is>
          <t>2026-07-31 核准；造价、商运年为作者估计</t>
        </is>
      </c>
    </row>
    <row r="28">
      <c r="A28" t="inlineStr">
        <is>
          <t xml:space="preserve">  金七门 4 号</t>
        </is>
      </c>
      <c r="B28" t="inlineStr">
        <is>
          <t>华东</t>
        </is>
      </c>
      <c r="C28" s="15" t="n">
        <v>123</v>
      </c>
      <c r="D28" s="16" t="n">
        <v>2033</v>
      </c>
      <c r="E28" s="17">
        <f>D28+'Scenarios'!$G$24</f>
        <v>2033.0</v>
      </c>
      <c r="F28" s="18" t="n">
        <v>18000</v>
      </c>
      <c r="G28" s="19">
        <f>IF(G$3&gt;$E28,$C28,IF(G$3=$E28,$C28*'Scenarios'!G$30,0))</f>
        <v>0.0</v>
      </c>
      <c r="H28" s="19">
        <f>IF(H$3&gt;$E28,$C28,IF(H$3=$E28,$C28*'Scenarios'!H$30,0))</f>
        <v>0.0</v>
      </c>
      <c r="I28" s="19">
        <f>IF(I$3&gt;$E28,$C28,IF(I$3=$E28,$C28*'Scenarios'!I$30,0))</f>
        <v>0.0</v>
      </c>
      <c r="J28" s="19">
        <f>IF(J$3&gt;$E28,$C28,IF(J$3=$E28,$C28*'Scenarios'!J$30,0))</f>
        <v>0.0</v>
      </c>
      <c r="K28" s="19">
        <f>IF(K$3&gt;$E28,$C28,IF(K$3=$E28,$C28*'Scenarios'!K$30,0))</f>
        <v>0.0</v>
      </c>
      <c r="L28" s="20" t="inlineStr"/>
    </row>
    <row r="29">
      <c r="A29" s="21" t="inlineStr">
        <is>
          <t>在建及核准待建合计（22 台）</t>
        </is>
      </c>
      <c r="B29" s="20" t="inlineStr">
        <is>
          <t>万千瓦</t>
        </is>
      </c>
      <c r="C29" s="19">
        <f>SUM(C8:C28)</f>
        <v>2563.5</v>
      </c>
      <c r="G29" s="19">
        <f>SUM(G8:G28)</f>
        <v>55.6</v>
      </c>
      <c r="H29" s="19">
        <f>SUM(H8:H28)</f>
        <v>340.64</v>
      </c>
      <c r="I29" s="19">
        <f>SUM(I8:I28)</f>
        <v>745.7</v>
      </c>
      <c r="J29" s="19">
        <f>SUM(J8:J28)</f>
        <v>1048.2</v>
      </c>
      <c r="K29" s="19">
        <f>SUM(K8:K28)</f>
        <v>1319.6999999999998</v>
      </c>
      <c r="L29" s="20" t="inlineStr">
        <is>
          <t>校验：应等于 2,563.50 万千瓦（2026 半年报披露日口径）</t>
        </is>
      </c>
    </row>
    <row r="30">
      <c r="A30" s="22" t="inlineStr">
        <is>
          <t>新机组年末在运容量</t>
        </is>
      </c>
      <c r="B30" s="20" t="inlineStr">
        <is>
          <t>万千瓦</t>
        </is>
      </c>
      <c r="G30" s="23">
        <f>SUMPRODUCT(($E$8:$E$28&lt;=G$3)*$C$8:$C$28)</f>
        <v>139.0</v>
      </c>
      <c r="H30" s="23">
        <f>SUMPRODUCT(($E$8:$E$28&lt;=H$3)*$C$8:$C$28)</f>
        <v>643.1</v>
      </c>
      <c r="I30" s="23">
        <f>SUMPRODUCT(($E$8:$E$28&lt;=I$3)*$C$8:$C$28)</f>
        <v>899.6</v>
      </c>
      <c r="J30" s="23">
        <f>SUMPRODUCT(($E$8:$E$28&lt;=J$3)*$C$8:$C$28)</f>
        <v>1271.1</v>
      </c>
      <c r="K30" s="23">
        <f>SUMPRODUCT(($E$8:$E$28&lt;=K$3)*$C$8:$C$28)</f>
        <v>1392.6</v>
      </c>
    </row>
    <row r="31">
      <c r="A31" s="22" t="inlineStr">
        <is>
          <t>新机组投产转固金额（容量×单位造价）</t>
        </is>
      </c>
      <c r="B31" s="20" t="inlineStr">
        <is>
          <t>亿元</t>
        </is>
      </c>
      <c r="G31" s="23">
        <f>SUMPRODUCT(($E$8:$E$28=G$3)*$C$8:$C$28*$F$8:$F$28)/10000</f>
        <v>290.78915</v>
      </c>
      <c r="H31" s="23">
        <f>SUMPRODUCT(($E$8:$E$28=H$3)*$C$8:$C$28*$F$8:$F$28)/10000</f>
        <v>976.61381</v>
      </c>
      <c r="I31" s="23">
        <f>SUMPRODUCT(($E$8:$E$28=I$3)*$C$8:$C$28*$F$8:$F$28)/10000</f>
        <v>472.66705</v>
      </c>
      <c r="J31" s="23">
        <f>SUMPRODUCT(($E$8:$E$28=J$3)*$C$8:$C$28*$F$8:$F$28)/10000</f>
        <v>607.55137</v>
      </c>
      <c r="K31" s="23">
        <f>SUMPRODUCT(($E$8:$E$28=K$3)*$C$8:$C$28*$F$8:$F$28)/10000</f>
        <v>222.86745</v>
      </c>
      <c r="L31" s="20" t="inlineStr">
        <is>
          <t>链接 Balance Sheet 在建工程→固定资产</t>
        </is>
      </c>
    </row>
    <row r="33">
      <c r="A33" s="12" t="inlineStr">
        <is>
          <t>B. 核电经营数据 Nuclear operations</t>
        </is>
      </c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</row>
    <row r="34">
      <c r="A34" s="22" t="inlineStr">
        <is>
          <t xml:space="preserve">  秦山基地（含方家山，9台） 装机</t>
        </is>
      </c>
      <c r="B34" s="20" t="inlineStr">
        <is>
          <t>万千瓦</t>
        </is>
      </c>
      <c r="D34" s="24" t="n">
        <v>666.4</v>
      </c>
      <c r="E34" s="24" t="n">
        <v>666.4</v>
      </c>
      <c r="F34" s="24" t="n">
        <v>670.2</v>
      </c>
      <c r="G34" s="15" t="n">
        <v>670.2</v>
      </c>
      <c r="H34" s="15" t="n">
        <v>670.2</v>
      </c>
      <c r="I34" s="15" t="n">
        <v>670.2</v>
      </c>
      <c r="J34" s="15" t="n">
        <v>670.2</v>
      </c>
      <c r="K34" s="15" t="n">
        <v>670.2</v>
      </c>
      <c r="L34" s="20" t="inlineStr">
        <is>
          <t>存量机组装机（年报 2025 第 33 页；秦二厂 2 号 2025 年增容至 70.8 万kW）</t>
        </is>
      </c>
    </row>
    <row r="35">
      <c r="A35" s="22" t="inlineStr">
        <is>
          <t xml:space="preserve">  田湾 1–6 号 装机</t>
        </is>
      </c>
      <c r="B35" s="20" t="inlineStr">
        <is>
          <t>万千瓦</t>
        </is>
      </c>
      <c r="D35" s="24" t="n">
        <v>660.8</v>
      </c>
      <c r="E35" s="24" t="n">
        <v>660.8</v>
      </c>
      <c r="F35" s="24" t="n">
        <v>660.8</v>
      </c>
      <c r="G35" s="15" t="n">
        <v>660.8</v>
      </c>
      <c r="H35" s="15" t="n">
        <v>660.8</v>
      </c>
      <c r="I35" s="15" t="n">
        <v>660.8</v>
      </c>
      <c r="J35" s="15" t="n">
        <v>660.8</v>
      </c>
      <c r="K35" s="15" t="n">
        <v>660.8</v>
      </c>
    </row>
    <row r="36">
      <c r="A36" s="22" t="inlineStr">
        <is>
          <t xml:space="preserve">  福清 1–6 号 装机</t>
        </is>
      </c>
      <c r="B36" s="20" t="inlineStr">
        <is>
          <t>万千瓦</t>
        </is>
      </c>
      <c r="D36" s="24" t="n">
        <v>667.8000000000001</v>
      </c>
      <c r="E36" s="24" t="n">
        <v>667.8000000000001</v>
      </c>
      <c r="F36" s="24" t="n">
        <v>667.8000000000001</v>
      </c>
      <c r="G36" s="15" t="n">
        <v>667.8</v>
      </c>
      <c r="H36" s="15" t="n">
        <v>667.8</v>
      </c>
      <c r="I36" s="15" t="n">
        <v>667.8</v>
      </c>
      <c r="J36" s="15" t="n">
        <v>667.8</v>
      </c>
      <c r="K36" s="15" t="n">
        <v>667.8</v>
      </c>
    </row>
    <row r="37">
      <c r="A37" s="22" t="inlineStr">
        <is>
          <t xml:space="preserve">  三门 1–2 号（AP1000） 装机</t>
        </is>
      </c>
      <c r="B37" s="20" t="inlineStr">
        <is>
          <t>万千瓦</t>
        </is>
      </c>
      <c r="D37" s="24" t="n">
        <v>250</v>
      </c>
      <c r="E37" s="24" t="n">
        <v>250</v>
      </c>
      <c r="F37" s="24" t="n">
        <v>250</v>
      </c>
      <c r="G37" s="15" t="n">
        <v>250</v>
      </c>
      <c r="H37" s="15" t="n">
        <v>250</v>
      </c>
      <c r="I37" s="15" t="n">
        <v>250</v>
      </c>
      <c r="J37" s="15" t="n">
        <v>250</v>
      </c>
      <c r="K37" s="15" t="n">
        <v>250</v>
      </c>
    </row>
    <row r="38">
      <c r="A38" s="22" t="inlineStr">
        <is>
          <t xml:space="preserve">  海南昌江 1–2 号 装机</t>
        </is>
      </c>
      <c r="B38" s="20" t="inlineStr">
        <is>
          <t>万千瓦</t>
        </is>
      </c>
      <c r="D38" s="24" t="n">
        <v>130</v>
      </c>
      <c r="E38" s="24" t="n">
        <v>130</v>
      </c>
      <c r="F38" s="24" t="n">
        <v>130</v>
      </c>
      <c r="G38" s="15" t="n">
        <v>130</v>
      </c>
      <c r="H38" s="15" t="n">
        <v>130</v>
      </c>
      <c r="I38" s="15" t="n">
        <v>130</v>
      </c>
      <c r="J38" s="15" t="n">
        <v>130</v>
      </c>
      <c r="K38" s="15" t="n">
        <v>130</v>
      </c>
    </row>
    <row r="39">
      <c r="A39" s="22" t="inlineStr">
        <is>
          <t xml:space="preserve">  漳州 1–2 号（华龙一号） 装机</t>
        </is>
      </c>
      <c r="B39" s="20" t="inlineStr">
        <is>
          <t>万千瓦</t>
        </is>
      </c>
      <c r="D39" s="24" t="n">
        <v>0</v>
      </c>
      <c r="E39" s="24" t="n">
        <v>0</v>
      </c>
      <c r="F39" s="24" t="n">
        <v>121.2</v>
      </c>
      <c r="G39" s="15" t="n">
        <v>242.4</v>
      </c>
      <c r="H39" s="15" t="n">
        <v>242.4</v>
      </c>
      <c r="I39" s="15" t="n">
        <v>242.4</v>
      </c>
      <c r="J39" s="15" t="n">
        <v>242.4</v>
      </c>
      <c r="K39" s="15" t="n">
        <v>242.4</v>
      </c>
    </row>
    <row r="40">
      <c r="A40" s="22" t="inlineStr">
        <is>
          <t>存量机组装机合计</t>
        </is>
      </c>
      <c r="B40" s="20" t="inlineStr">
        <is>
          <t>万千瓦</t>
        </is>
      </c>
      <c r="D40" s="25">
        <f>SUM(D34:D39)</f>
        <v>2375.0</v>
      </c>
      <c r="E40" s="25">
        <f>SUM(E34:E39)</f>
        <v>2375.0</v>
      </c>
      <c r="F40" s="25">
        <f>SUM(F34:F39)</f>
        <v>2500.0</v>
      </c>
      <c r="G40" s="23">
        <f>SUM(G34:G39)</f>
        <v>2621.2000000000003</v>
      </c>
      <c r="H40" s="23">
        <f>SUM(H34:H39)</f>
        <v>2621.2000000000003</v>
      </c>
      <c r="I40" s="23">
        <f>SUM(I34:I39)</f>
        <v>2621.2000000000003</v>
      </c>
      <c r="J40" s="23">
        <f>SUM(J34:J39)</f>
        <v>2621.2000000000003</v>
      </c>
      <c r="K40" s="23">
        <f>SUM(K34:K39)</f>
        <v>2621.2000000000003</v>
      </c>
    </row>
    <row r="41">
      <c r="A41" s="22" t="inlineStr">
        <is>
          <t>核电控股在运装机（年末）</t>
        </is>
      </c>
      <c r="B41" s="20" t="inlineStr">
        <is>
          <t>万千瓦</t>
        </is>
      </c>
      <c r="C41" s="24" t="n">
        <v>2375</v>
      </c>
      <c r="D41" s="24" t="n">
        <v>2375</v>
      </c>
      <c r="E41" s="24" t="n">
        <v>2375</v>
      </c>
      <c r="F41" s="24" t="n">
        <v>2500</v>
      </c>
      <c r="G41" s="23">
        <f>G40+G30</f>
        <v>2760.2000000000003</v>
      </c>
      <c r="H41" s="23">
        <f>H40+H30</f>
        <v>3264.3</v>
      </c>
      <c r="I41" s="23">
        <f>I40+I30</f>
        <v>3520.8</v>
      </c>
      <c r="J41" s="23">
        <f>J40+J30</f>
        <v>3892.3</v>
      </c>
      <c r="K41" s="23">
        <f>K40+K30</f>
        <v>4013.8</v>
      </c>
      <c r="L41" s="20" t="inlineStr">
        <is>
          <t>2025A 2,500 万kW（26 台）；2026-01-01 漳州 2 号商运后 2,621.2 万kW</t>
        </is>
      </c>
    </row>
    <row r="42">
      <c r="A42" s="22" t="inlineStr">
        <is>
          <t>存量机组利用小时（情景）</t>
        </is>
      </c>
      <c r="B42" s="20" t="inlineStr">
        <is>
          <t>小时</t>
        </is>
      </c>
      <c r="D42" s="26" t="n">
        <v>7852</v>
      </c>
      <c r="E42" s="26" t="n">
        <v>7710</v>
      </c>
      <c r="F42" s="26" t="n">
        <v>8038</v>
      </c>
      <c r="G42" s="27">
        <f>'Scenarios'!G18</f>
        <v>7650.0</v>
      </c>
      <c r="H42" s="27">
        <f>'Scenarios'!H18</f>
        <v>7950.0</v>
      </c>
      <c r="I42" s="27">
        <f>'Scenarios'!I18</f>
        <v>7950.0</v>
      </c>
      <c r="J42" s="27">
        <f>'Scenarios'!J18</f>
        <v>7950.0</v>
      </c>
      <c r="K42" s="27">
        <f>'Scenarios'!K18</f>
        <v>7950.0</v>
      </c>
      <c r="L42" s="20" t="inlineStr">
        <is>
          <t>历史=公司平均利用小时（年报发电效率表）</t>
        </is>
      </c>
    </row>
    <row r="43">
      <c r="A43" s="22" t="inlineStr">
        <is>
          <t xml:space="preserve">  秦山基地（含方家山，9台） 发电量</t>
        </is>
      </c>
      <c r="B43" s="20" t="inlineStr">
        <is>
          <t>亿kWh</t>
        </is>
      </c>
      <c r="D43" s="24" t="n">
        <v>555.89675</v>
      </c>
      <c r="E43" s="24" t="n">
        <v>547.4620500000001</v>
      </c>
      <c r="F43" s="24" t="n">
        <v>538.89202</v>
      </c>
      <c r="G43" s="23">
        <f>G34*G42/10000</f>
        <v>512.703</v>
      </c>
      <c r="H43" s="23">
        <f>H34*H42/10000</f>
        <v>532.809</v>
      </c>
      <c r="I43" s="23">
        <f>I34*I42/10000</f>
        <v>532.809</v>
      </c>
      <c r="J43" s="23">
        <f>J34*J42/10000</f>
        <v>532.809</v>
      </c>
      <c r="K43" s="23">
        <f>K34*K42/10000</f>
        <v>532.809</v>
      </c>
      <c r="L43" s="20" t="inlineStr">
        <is>
          <t>历史=Σ机组容量×利用小时（推算）；预测装机 670.2 万kW</t>
        </is>
      </c>
    </row>
    <row r="44">
      <c r="A44" s="22" t="inlineStr">
        <is>
          <t xml:space="preserve">  田湾 1–6 号 发电量</t>
        </is>
      </c>
      <c r="B44" s="20" t="inlineStr">
        <is>
          <t>亿kWh</t>
        </is>
      </c>
      <c r="D44" s="24" t="n">
        <v>502.76332</v>
      </c>
      <c r="E44" s="24" t="n">
        <v>517.6381200000001</v>
      </c>
      <c r="F44" s="24" t="n">
        <v>527.40832</v>
      </c>
      <c r="G44" s="23">
        <f>G35*G42/10000</f>
        <v>505.512</v>
      </c>
      <c r="H44" s="23">
        <f>H35*H42/10000</f>
        <v>525.336</v>
      </c>
      <c r="I44" s="23">
        <f>I35*I42/10000</f>
        <v>525.336</v>
      </c>
      <c r="J44" s="23">
        <f>J35*J42/10000</f>
        <v>525.336</v>
      </c>
      <c r="K44" s="23">
        <f>K35*K42/10000</f>
        <v>525.336</v>
      </c>
      <c r="L44" s="20" t="inlineStr">
        <is>
          <t>历史=Σ机组容量×利用小时（推算）；预测装机 660.8 万kW</t>
        </is>
      </c>
    </row>
    <row r="45">
      <c r="A45" s="22" t="inlineStr">
        <is>
          <t xml:space="preserve">  福清 1–6 号 发电量</t>
        </is>
      </c>
      <c r="B45" s="20" t="inlineStr">
        <is>
          <t>亿kWh</t>
        </is>
      </c>
      <c r="D45" s="24" t="n">
        <v>494.8201799999999</v>
      </c>
      <c r="E45" s="24" t="n">
        <v>461.46555</v>
      </c>
      <c r="F45" s="24" t="n">
        <v>546.94458</v>
      </c>
      <c r="G45" s="23">
        <f>G36*G42/10000</f>
        <v>510.867</v>
      </c>
      <c r="H45" s="23">
        <f>H36*H42/10000</f>
        <v>530.901</v>
      </c>
      <c r="I45" s="23">
        <f>I36*I42/10000</f>
        <v>530.901</v>
      </c>
      <c r="J45" s="23">
        <f>J36*J42/10000</f>
        <v>530.901</v>
      </c>
      <c r="K45" s="23">
        <f>K36*K42/10000</f>
        <v>530.901</v>
      </c>
      <c r="L45" s="20" t="inlineStr">
        <is>
          <t>历史=Σ机组容量×利用小时（推算）；预测装机 667.8 万kW</t>
        </is>
      </c>
    </row>
    <row r="46">
      <c r="A46" s="22" t="inlineStr">
        <is>
          <t xml:space="preserve">  三门 1–2 号（AP1000） 发电量</t>
        </is>
      </c>
      <c r="B46" s="20" t="inlineStr">
        <is>
          <t>亿kWh</t>
        </is>
      </c>
      <c r="D46" s="24" t="n">
        <v>206.2875</v>
      </c>
      <c r="E46" s="24" t="n">
        <v>207.9</v>
      </c>
      <c r="F46" s="24" t="n">
        <v>193.9375</v>
      </c>
      <c r="G46" s="23">
        <f>G37*G42/10000</f>
        <v>191.25</v>
      </c>
      <c r="H46" s="23">
        <f>H37*H42/10000</f>
        <v>198.75</v>
      </c>
      <c r="I46" s="23">
        <f>I37*I42/10000</f>
        <v>198.75</v>
      </c>
      <c r="J46" s="23">
        <f>J37*J42/10000</f>
        <v>198.75</v>
      </c>
      <c r="K46" s="23">
        <f>K37*K42/10000</f>
        <v>198.75</v>
      </c>
      <c r="L46" s="20" t="inlineStr">
        <is>
          <t>历史=Σ机组容量×利用小时（推算）；预测装机 250.0 万kW</t>
        </is>
      </c>
    </row>
    <row r="47">
      <c r="A47" s="22" t="inlineStr">
        <is>
          <t xml:space="preserve">  海南昌江 1–2 号 发电量</t>
        </is>
      </c>
      <c r="B47" s="20" t="inlineStr">
        <is>
          <t>亿kWh</t>
        </is>
      </c>
      <c r="D47" s="24" t="n">
        <v>105.0075</v>
      </c>
      <c r="E47" s="24" t="n">
        <v>96.7655</v>
      </c>
      <c r="F47" s="24" t="n">
        <v>100.139</v>
      </c>
      <c r="G47" s="23">
        <f>G38*G42/10000</f>
        <v>99.45</v>
      </c>
      <c r="H47" s="23">
        <f>H38*H42/10000</f>
        <v>103.35</v>
      </c>
      <c r="I47" s="23">
        <f>I38*I42/10000</f>
        <v>103.35</v>
      </c>
      <c r="J47" s="23">
        <f>J38*J42/10000</f>
        <v>103.35</v>
      </c>
      <c r="K47" s="23">
        <f>K38*K42/10000</f>
        <v>103.35</v>
      </c>
      <c r="L47" s="20" t="inlineStr">
        <is>
          <t>历史=Σ机组容量×利用小时（推算）；预测装机 130.0 万kW</t>
        </is>
      </c>
    </row>
    <row r="48">
      <c r="A48" s="22" t="inlineStr">
        <is>
          <t xml:space="preserve">  漳州 1–2 号（华龙一号） 发电量</t>
        </is>
      </c>
      <c r="B48" s="20" t="inlineStr">
        <is>
          <t>亿kWh</t>
        </is>
      </c>
      <c r="D48" s="24" t="n">
        <v>0</v>
      </c>
      <c r="E48" s="24" t="n">
        <v>0</v>
      </c>
      <c r="F48" s="24" t="n">
        <v>102.12312</v>
      </c>
      <c r="G48" s="23">
        <f>G39*G42/10000</f>
        <v>185.436</v>
      </c>
      <c r="H48" s="23">
        <f>H39*H42/10000</f>
        <v>192.708</v>
      </c>
      <c r="I48" s="23">
        <f>I39*I42/10000</f>
        <v>192.708</v>
      </c>
      <c r="J48" s="23">
        <f>J39*J42/10000</f>
        <v>192.708</v>
      </c>
      <c r="K48" s="23">
        <f>K39*K42/10000</f>
        <v>192.708</v>
      </c>
      <c r="L48" s="20" t="inlineStr">
        <is>
          <t>历史=Σ机组容量×利用小时（推算）；预测装机 242.4 万kW；漳州 2 号 2026-01-01 商运</t>
        </is>
      </c>
    </row>
    <row r="49">
      <c r="A49" s="22" t="inlineStr">
        <is>
          <t xml:space="preserve">  田湾 7–8 号 发电量</t>
        </is>
      </c>
      <c r="B49" s="20" t="inlineStr">
        <is>
          <t>亿kWh</t>
        </is>
      </c>
      <c r="G49" s="23">
        <f>(G8+G12)*G42/10000</f>
        <v>38.709</v>
      </c>
      <c r="H49" s="23">
        <f>(H8+H12)*H42/10000</f>
        <v>140.7945</v>
      </c>
      <c r="I49" s="23">
        <f>(I8+I12)*I42/10000</f>
        <v>201.135</v>
      </c>
      <c r="J49" s="23">
        <f>(J8+J12)*J42/10000</f>
        <v>201.135</v>
      </c>
      <c r="K49" s="23">
        <f>(K8+K12)*K42/10000</f>
        <v>201.135</v>
      </c>
    </row>
    <row r="50">
      <c r="A50" s="22" t="inlineStr">
        <is>
          <t xml:space="preserve">  海南小堆 发电量</t>
        </is>
      </c>
      <c r="B50" s="20" t="inlineStr">
        <is>
          <t>亿kWh</t>
        </is>
      </c>
      <c r="G50" s="23">
        <f>(G9)*G42/10000</f>
        <v>3.825</v>
      </c>
      <c r="H50" s="23">
        <f>(H9)*H42/10000</f>
        <v>9.9375</v>
      </c>
      <c r="I50" s="23">
        <f>(I9)*I42/10000</f>
        <v>9.9375</v>
      </c>
      <c r="J50" s="23">
        <f>(J9)*J42/10000</f>
        <v>9.9375</v>
      </c>
      <c r="K50" s="23">
        <f>(K9)*K42/10000</f>
        <v>9.9375</v>
      </c>
    </row>
    <row r="51">
      <c r="A51" s="22" t="inlineStr">
        <is>
          <t xml:space="preserve">  三门 3–4 号 发电量</t>
        </is>
      </c>
      <c r="B51" s="20" t="inlineStr">
        <is>
          <t>亿kWh</t>
        </is>
      </c>
      <c r="G51" s="23">
        <f>(G11+G13)*G42/10000</f>
        <v>0.0</v>
      </c>
      <c r="H51" s="23">
        <f>(H11+H13)*H42/10000</f>
        <v>79.5636</v>
      </c>
      <c r="I51" s="23">
        <f>(I11+I13)*I42/10000</f>
        <v>198.909</v>
      </c>
      <c r="J51" s="23">
        <f>(J11+J13)*J42/10000</f>
        <v>198.909</v>
      </c>
      <c r="K51" s="23">
        <f>(K11+K13)*K42/10000</f>
        <v>198.909</v>
      </c>
    </row>
    <row r="52">
      <c r="A52" s="22" t="inlineStr">
        <is>
          <t xml:space="preserve">  徐大堡 1–4 号 发电量</t>
        </is>
      </c>
      <c r="B52" s="20" t="inlineStr">
        <is>
          <t>亿kWh</t>
        </is>
      </c>
      <c r="G52" s="23">
        <f>(G10+G14+G15+G17)*G42/10000</f>
        <v>0.0</v>
      </c>
      <c r="H52" s="23">
        <f>(H10+H14+H15+H17)*H42/10000</f>
        <v>40.513200000000005</v>
      </c>
      <c r="I52" s="23">
        <f>(I10+I14+I15+I17)*I42/10000</f>
        <v>182.85000000000002</v>
      </c>
      <c r="J52" s="23">
        <f>(J10+J14+J15+J17)*J42/10000</f>
        <v>346.25429999999994</v>
      </c>
      <c r="K52" s="23">
        <f>(K10+K14+K15+K17)*K42/10000</f>
        <v>407.835</v>
      </c>
    </row>
    <row r="53">
      <c r="A53" s="22" t="inlineStr">
        <is>
          <t xml:space="preserve">  漳州 3–4 号 发电量</t>
        </is>
      </c>
      <c r="B53" s="20" t="inlineStr">
        <is>
          <t>亿kWh</t>
        </is>
      </c>
      <c r="G53" s="23">
        <f>(G16+G18)*G42/10000</f>
        <v>0.0</v>
      </c>
      <c r="H53" s="23">
        <f>(H16+H18)*H42/10000</f>
        <v>0.0</v>
      </c>
      <c r="I53" s="23">
        <f>(I16+I18)*I42/10000</f>
        <v>0.0</v>
      </c>
      <c r="J53" s="23">
        <f>(J16+J18)*J42/10000</f>
        <v>77.0832</v>
      </c>
      <c r="K53" s="23">
        <f>(K16+K18)*K42/10000</f>
        <v>192.708</v>
      </c>
    </row>
    <row r="54">
      <c r="A54" s="22" t="inlineStr">
        <is>
          <t xml:space="preserve">  金七门 1–2 号 发电量</t>
        </is>
      </c>
      <c r="B54" s="20" t="inlineStr">
        <is>
          <t>亿kWh</t>
        </is>
      </c>
      <c r="G54" s="23">
        <f>(G19+G21)*G42/10000</f>
        <v>0.0</v>
      </c>
      <c r="H54" s="23">
        <f>(H19+H21)*H42/10000</f>
        <v>0.0</v>
      </c>
      <c r="I54" s="23">
        <f>(I19+I21)*I42/10000</f>
        <v>0.0</v>
      </c>
      <c r="J54" s="23">
        <f>(J19+J21)*J42/10000</f>
        <v>0.0</v>
      </c>
      <c r="K54" s="23">
        <f>(K19+K21)*K42/10000</f>
        <v>38.637</v>
      </c>
    </row>
    <row r="55">
      <c r="A55" s="22" t="inlineStr">
        <is>
          <t xml:space="preserve">  徐圩/三门 5–6/庄河/金七门 3–4 发电量</t>
        </is>
      </c>
      <c r="B55" s="20" t="inlineStr">
        <is>
          <t>亿kWh</t>
        </is>
      </c>
      <c r="G55" s="23">
        <f>(G20+G22+G23+G24+G25+G26+G27+G28)*G42/10000</f>
        <v>0.0</v>
      </c>
      <c r="H55" s="23">
        <f>(H20+H22+H23+H24+H25+H26+H27+H28)*H42/10000</f>
        <v>0.0</v>
      </c>
      <c r="I55" s="23">
        <f>(I20+I22+I23+I24+I25+I26+I27+I28)*I42/10000</f>
        <v>0.0</v>
      </c>
      <c r="J55" s="23">
        <f>(J20+J22+J23+J24+J25+J26+J27+J28)*J42/10000</f>
        <v>0.0</v>
      </c>
      <c r="K55" s="23">
        <f>(K20+K22+K23+K24+K25+K26+K27+K28)*K42/10000</f>
        <v>0.0</v>
      </c>
    </row>
    <row r="56">
      <c r="A56" s="21" t="inlineStr">
        <is>
          <t>核电发电量（按机组推算合计）</t>
        </is>
      </c>
      <c r="B56" s="20" t="inlineStr">
        <is>
          <t>亿kWh</t>
        </is>
      </c>
      <c r="D56" s="28">
        <f>SUM(D43:D55)</f>
        <v>1864.7752499999997</v>
      </c>
      <c r="E56" s="28">
        <f>SUM(E43:E55)</f>
        <v>1831.2312200000001</v>
      </c>
      <c r="F56" s="28">
        <f>SUM(F43:F55)</f>
        <v>2009.44454</v>
      </c>
      <c r="G56" s="29">
        <f>SUM(G43:G55)</f>
        <v>2047.752</v>
      </c>
      <c r="H56" s="29">
        <f>SUM(H43:H55)</f>
        <v>2354.6627999999996</v>
      </c>
      <c r="I56" s="29">
        <f>SUM(I43:I55)</f>
        <v>2676.6854999999996</v>
      </c>
      <c r="J56" s="29">
        <f>SUM(J43:J55)</f>
        <v>2917.173</v>
      </c>
      <c r="K56" s="29">
        <f>SUM(K43:K55)</f>
        <v>3133.0155</v>
      </c>
    </row>
    <row r="57">
      <c r="A57" s="21" t="inlineStr">
        <is>
          <t>核电发电量（报告口径）</t>
        </is>
      </c>
      <c r="B57" s="20" t="inlineStr">
        <is>
          <t>亿kWh</t>
        </is>
      </c>
      <c r="C57" s="30" t="n">
        <v>1852.39</v>
      </c>
      <c r="D57" s="30" t="n">
        <v>1864.77</v>
      </c>
      <c r="E57" s="30" t="n">
        <v>1831.22</v>
      </c>
      <c r="F57" s="30" t="n">
        <v>2008.07</v>
      </c>
      <c r="G57" s="29">
        <f>G56</f>
        <v>2047.752</v>
      </c>
      <c r="H57" s="29">
        <f>H56</f>
        <v>2354.6627999999996</v>
      </c>
      <c r="I57" s="29">
        <f>I56</f>
        <v>2676.6854999999996</v>
      </c>
      <c r="J57" s="29">
        <f>J56</f>
        <v>2917.173</v>
      </c>
      <c r="K57" s="29">
        <f>K56</f>
        <v>3133.0155</v>
      </c>
      <c r="L57" s="20" t="inlineStr">
        <is>
          <t>年报产销量表；含蒸汽供能折算电量（2025 年 10.24 亿 kWh）</t>
        </is>
      </c>
    </row>
    <row r="58">
      <c r="A58" s="22" t="inlineStr">
        <is>
          <t>核电上网电量/发电量</t>
        </is>
      </c>
      <c r="B58" s="20" t="inlineStr">
        <is>
          <t>%</t>
        </is>
      </c>
      <c r="C58" s="31">
        <f>C59/C57</f>
        <v>0.9350946614913705</v>
      </c>
      <c r="D58" s="31">
        <f>D59/D57</f>
        <v>0.9355470111595532</v>
      </c>
      <c r="E58" s="31">
        <f>E59/E57</f>
        <v>0.9352235121940563</v>
      </c>
      <c r="F58" s="31">
        <f>F59/F57</f>
        <v>0.9354604172165314</v>
      </c>
      <c r="G58" s="32" t="n">
        <v>0.9355</v>
      </c>
      <c r="H58" s="32" t="n">
        <v>0.9355</v>
      </c>
      <c r="I58" s="32" t="n">
        <v>0.9355</v>
      </c>
      <c r="J58" s="32" t="n">
        <v>0.9355</v>
      </c>
      <c r="K58" s="32" t="n">
        <v>0.9355</v>
      </c>
      <c r="L58" s="20" t="inlineStr">
        <is>
          <t>2025A 93.55% / 2024A 93.52%</t>
        </is>
      </c>
    </row>
    <row r="59">
      <c r="A59" s="22" t="inlineStr">
        <is>
          <t>核电上网电量</t>
        </is>
      </c>
      <c r="B59" s="20" t="inlineStr">
        <is>
          <t>亿kWh</t>
        </is>
      </c>
      <c r="C59" s="24" t="n">
        <v>1732.16</v>
      </c>
      <c r="D59" s="24" t="n">
        <v>1744.58</v>
      </c>
      <c r="E59" s="24" t="n">
        <v>1712.6</v>
      </c>
      <c r="F59" s="24" t="n">
        <v>1878.47</v>
      </c>
      <c r="G59" s="23">
        <f>G57*G58</f>
        <v>1915.671996</v>
      </c>
      <c r="H59" s="23">
        <f>H57*H58</f>
        <v>2202.7870493999994</v>
      </c>
      <c r="I59" s="23">
        <f>I57*I58</f>
        <v>2504.0392852499995</v>
      </c>
      <c r="J59" s="23">
        <f>J57*J58</f>
        <v>2729.0153415</v>
      </c>
      <c r="K59" s="23">
        <f>K57*K58</f>
        <v>2930.93600025</v>
      </c>
    </row>
    <row r="60">
      <c r="A60" s="22" t="inlineStr">
        <is>
          <t>核电综合电价（含税）</t>
        </is>
      </c>
      <c r="B60" s="20" t="inlineStr">
        <is>
          <t>元/kWh</t>
        </is>
      </c>
      <c r="E60" s="33" t="n">
        <v>0.4151</v>
      </c>
      <c r="F60" s="33" t="n">
        <v>0.3937</v>
      </c>
      <c r="G60" s="34">
        <f>'Scenarios'!G12</f>
        <v>0.378</v>
      </c>
      <c r="H60" s="34">
        <f>'Scenarios'!H12</f>
        <v>0.376</v>
      </c>
      <c r="I60" s="34">
        <f>'Scenarios'!I12</f>
        <v>0.375</v>
      </c>
      <c r="J60" s="34">
        <f>'Scenarios'!J12</f>
        <v>0.375</v>
      </c>
      <c r="K60" s="34">
        <f>'Scenarios'!K12</f>
        <v>0.375</v>
      </c>
      <c r="L60" s="20" t="inlineStr">
        <is>
          <t>年报 2025 售电业务经营情况；预测链接 Scenarios</t>
        </is>
      </c>
    </row>
    <row r="61">
      <c r="A61" s="22" t="inlineStr">
        <is>
          <t>增值税率</t>
        </is>
      </c>
      <c r="B61" s="20" t="inlineStr">
        <is>
          <t>%</t>
        </is>
      </c>
      <c r="C61" s="35" t="n">
        <v>0.13</v>
      </c>
      <c r="D61" s="35" t="n">
        <v>0.13</v>
      </c>
      <c r="E61" s="35" t="n">
        <v>0.13</v>
      </c>
      <c r="F61" s="35" t="n">
        <v>0.13</v>
      </c>
      <c r="G61" s="32" t="n">
        <v>0.13</v>
      </c>
      <c r="H61" s="32" t="n">
        <v>0.13</v>
      </c>
      <c r="I61" s="32" t="n">
        <v>0.13</v>
      </c>
      <c r="J61" s="32" t="n">
        <v>0.13</v>
      </c>
      <c r="K61" s="32" t="n">
        <v>0.13</v>
      </c>
    </row>
    <row r="63">
      <c r="A63" s="12" t="inlineStr">
        <is>
          <t>C. 新能源经营数据 Renewables operations</t>
        </is>
      </c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</row>
    <row r="64">
      <c r="A64" s="22" t="inlineStr">
        <is>
          <t>风电在运装机（年末）</t>
        </is>
      </c>
      <c r="B64" s="20" t="inlineStr">
        <is>
          <t>万千瓦</t>
        </is>
      </c>
      <c r="D64" s="24" t="n">
        <v>595.15</v>
      </c>
      <c r="E64" s="24" t="n">
        <v>941</v>
      </c>
      <c r="F64" s="24" t="n">
        <v>1062.68</v>
      </c>
      <c r="G64" s="23">
        <f>F64+'Scenarios'!G54*G67</f>
        <v>1185.18</v>
      </c>
      <c r="H64" s="23">
        <f>G64+'Scenarios'!H54*H67</f>
        <v>1272.68</v>
      </c>
      <c r="I64" s="23">
        <f>H64+'Scenarios'!I54*I67</f>
        <v>1342.68</v>
      </c>
      <c r="J64" s="23">
        <f>I64+'Scenarios'!J54*J67</f>
        <v>1412.68</v>
      </c>
      <c r="K64" s="23">
        <f>J64+'Scenarios'!K54*K67</f>
        <v>1482.68</v>
      </c>
      <c r="L64" s="20" t="inlineStr">
        <is>
          <t>2024A 为作者按总装机比例估算（年报未单独披露 2024 年末风光拆分）</t>
        </is>
      </c>
    </row>
    <row r="65">
      <c r="A65" s="22" t="inlineStr">
        <is>
          <t>光伏在运装机（年末）</t>
        </is>
      </c>
      <c r="B65" s="20" t="inlineStr">
        <is>
          <t>万千瓦</t>
        </is>
      </c>
      <c r="D65" s="24" t="n">
        <v>1256.44</v>
      </c>
      <c r="E65" s="24" t="n">
        <v>2018.62</v>
      </c>
      <c r="F65" s="24" t="n">
        <v>2301.42</v>
      </c>
      <c r="G65" s="23">
        <f>F65+'Scenarios'!G54*(1-G67)</f>
        <v>2528.92</v>
      </c>
      <c r="H65" s="23">
        <f>G65+'Scenarios'!H54*(1-H67)</f>
        <v>2691.42</v>
      </c>
      <c r="I65" s="23">
        <f>H65+'Scenarios'!I54*(1-I67)</f>
        <v>2821.42</v>
      </c>
      <c r="J65" s="23">
        <f>I65+'Scenarios'!J54*(1-J67)</f>
        <v>2951.42</v>
      </c>
      <c r="K65" s="23">
        <f>J65+'Scenarios'!K54*(1-K67)</f>
        <v>3081.42</v>
      </c>
    </row>
    <row r="66">
      <c r="A66" s="21" t="inlineStr">
        <is>
          <t>新能源在运装机合计（年末）</t>
        </is>
      </c>
      <c r="B66" s="20" t="inlineStr">
        <is>
          <t>万千瓦</t>
        </is>
      </c>
      <c r="C66" s="30" t="n">
        <v>1253.07</v>
      </c>
      <c r="D66" s="30" t="n">
        <v>1851.59</v>
      </c>
      <c r="E66" s="30" t="n">
        <v>2959.62</v>
      </c>
      <c r="F66" s="30" t="n">
        <v>3364.1</v>
      </c>
      <c r="G66" s="29">
        <f>G64+G65</f>
        <v>3714.1000000000004</v>
      </c>
      <c r="H66" s="29">
        <f>H64+H65</f>
        <v>3964.1000000000004</v>
      </c>
      <c r="I66" s="29">
        <f>I64+I65</f>
        <v>4164.1</v>
      </c>
      <c r="J66" s="29">
        <f>J64+J65</f>
        <v>4364.1</v>
      </c>
      <c r="K66" s="29">
        <f>K64+K65</f>
        <v>4564.1</v>
      </c>
      <c r="L66" s="20" t="inlineStr">
        <is>
          <t>不含独立储能（2025 年末 165.10 万kW）</t>
        </is>
      </c>
    </row>
    <row r="67">
      <c r="A67" s="22" t="inlineStr">
        <is>
          <t>新增装机中风电占比</t>
        </is>
      </c>
      <c r="B67" s="20" t="inlineStr">
        <is>
          <t>%</t>
        </is>
      </c>
      <c r="G67" s="32" t="n">
        <v>0.35</v>
      </c>
      <c r="H67" s="32" t="n">
        <v>0.35</v>
      </c>
      <c r="I67" s="32" t="n">
        <v>0.35</v>
      </c>
      <c r="J67" s="32" t="n">
        <v>0.35</v>
      </c>
      <c r="K67" s="32" t="n">
        <v>0.35</v>
      </c>
      <c r="L67" s="20" t="inlineStr">
        <is>
          <t>2025 年末在建：风电 260.74 / 光伏 532.43 万kW</t>
        </is>
      </c>
    </row>
    <row r="68">
      <c r="A68" s="22" t="inlineStr">
        <is>
          <t>风电利用小时</t>
        </is>
      </c>
      <c r="B68" s="20" t="inlineStr">
        <is>
          <t>小时</t>
        </is>
      </c>
      <c r="F68" s="26" t="n">
        <v>1928</v>
      </c>
      <c r="G68" s="27">
        <f>'Scenarios'!G42</f>
        <v>1800.0</v>
      </c>
      <c r="H68" s="27">
        <f>'Scenarios'!H42</f>
        <v>1800.0</v>
      </c>
      <c r="I68" s="27">
        <f>'Scenarios'!I42</f>
        <v>1800.0</v>
      </c>
      <c r="J68" s="27">
        <f>'Scenarios'!J42</f>
        <v>1800.0</v>
      </c>
      <c r="K68" s="27">
        <f>'Scenarios'!K42</f>
        <v>1800.0</v>
      </c>
      <c r="L68" s="20" t="inlineStr">
        <is>
          <t>2025A 按平均装机推算</t>
        </is>
      </c>
    </row>
    <row r="69">
      <c r="A69" s="22" t="inlineStr">
        <is>
          <t>光伏利用小时</t>
        </is>
      </c>
      <c r="B69" s="20" t="inlineStr">
        <is>
          <t>小时</t>
        </is>
      </c>
      <c r="F69" s="26" t="n">
        <v>1126</v>
      </c>
      <c r="G69" s="27">
        <f>'Scenarios'!G48</f>
        <v>1050.0</v>
      </c>
      <c r="H69" s="27">
        <f>'Scenarios'!H48</f>
        <v>1050.0</v>
      </c>
      <c r="I69" s="27">
        <f>'Scenarios'!I48</f>
        <v>1050.0</v>
      </c>
      <c r="J69" s="27">
        <f>'Scenarios'!J48</f>
        <v>1050.0</v>
      </c>
      <c r="K69" s="27">
        <f>'Scenarios'!K48</f>
        <v>1050.0</v>
      </c>
    </row>
    <row r="70">
      <c r="A70" s="22" t="inlineStr">
        <is>
          <t xml:space="preserve">  风电发电量</t>
        </is>
      </c>
      <c r="B70" s="20" t="inlineStr">
        <is>
          <t>亿kWh</t>
        </is>
      </c>
      <c r="C70" s="24" t="n">
        <v>65.37</v>
      </c>
      <c r="D70" s="24" t="n">
        <v>109.03</v>
      </c>
      <c r="E70" s="24" t="n">
        <v>151.58</v>
      </c>
      <c r="F70" s="24" t="n">
        <v>193.14</v>
      </c>
      <c r="G70" s="23">
        <f>(F64+G64)/2*G68/10000</f>
        <v>202.3074</v>
      </c>
      <c r="H70" s="23">
        <f>(G64+H64)/2*H68/10000</f>
        <v>221.2074</v>
      </c>
      <c r="I70" s="23">
        <f>(H64+I64)/2*I68/10000</f>
        <v>235.3824</v>
      </c>
      <c r="J70" s="23">
        <f>(I64+J64)/2*J68/10000</f>
        <v>247.9824</v>
      </c>
      <c r="K70" s="23">
        <f>(J64+K64)/2*K68/10000</f>
        <v>260.5824</v>
      </c>
      <c r="L70" s="20" t="inlineStr">
        <is>
          <t>2022A/2024A 由同比增速倒推</t>
        </is>
      </c>
    </row>
    <row r="71">
      <c r="A71" s="22" t="inlineStr">
        <is>
          <t xml:space="preserve">  光伏发电量</t>
        </is>
      </c>
      <c r="B71" s="20" t="inlineStr">
        <is>
          <t>亿kWh</t>
        </is>
      </c>
      <c r="C71" s="24" t="n">
        <v>75.11</v>
      </c>
      <c r="D71" s="24" t="n">
        <v>124.78</v>
      </c>
      <c r="E71" s="24" t="n">
        <v>180.69</v>
      </c>
      <c r="F71" s="24" t="n">
        <v>243.08</v>
      </c>
      <c r="G71" s="23">
        <f>(F65+G65)/2*G69/10000</f>
        <v>253.59285</v>
      </c>
      <c r="H71" s="23">
        <f>(G65+H65)/2*H69/10000</f>
        <v>274.06785</v>
      </c>
      <c r="I71" s="23">
        <f>(H65+I65)/2*I69/10000</f>
        <v>289.4241</v>
      </c>
      <c r="J71" s="23">
        <f>(I65+J65)/2*J69/10000</f>
        <v>303.0741</v>
      </c>
      <c r="K71" s="23">
        <f>(J65+K65)/2*K69/10000</f>
        <v>316.7241</v>
      </c>
    </row>
    <row r="72">
      <c r="A72" s="21" t="inlineStr">
        <is>
          <t>新能源发电量合计</t>
        </is>
      </c>
      <c r="B72" s="20" t="inlineStr">
        <is>
          <t>亿kWh</t>
        </is>
      </c>
      <c r="C72" s="28">
        <f>C70+C71</f>
        <v>140.48000000000002</v>
      </c>
      <c r="D72" s="28">
        <f>D70+D71</f>
        <v>233.81</v>
      </c>
      <c r="E72" s="28">
        <f>E70+E71</f>
        <v>332.27</v>
      </c>
      <c r="F72" s="28">
        <f>F70+F71</f>
        <v>436.22</v>
      </c>
      <c r="G72" s="29">
        <f>G70+G71</f>
        <v>455.90025</v>
      </c>
      <c r="H72" s="29">
        <f>H70+H71</f>
        <v>495.27525</v>
      </c>
      <c r="I72" s="29">
        <f>I70+I71</f>
        <v>524.8065</v>
      </c>
      <c r="J72" s="29">
        <f>J70+J71</f>
        <v>551.0565</v>
      </c>
      <c r="K72" s="29">
        <f>K70+K71</f>
        <v>577.3065</v>
      </c>
    </row>
    <row r="73">
      <c r="A73" s="22" t="inlineStr">
        <is>
          <t>新能源上网率</t>
        </is>
      </c>
      <c r="B73" s="20" t="inlineStr">
        <is>
          <t>%</t>
        </is>
      </c>
      <c r="G73" s="32" t="n">
        <v>0.9834000000000001</v>
      </c>
      <c r="H73" s="32" t="n">
        <v>0.9834000000000001</v>
      </c>
      <c r="I73" s="32" t="n">
        <v>0.9834000000000001</v>
      </c>
      <c r="J73" s="32" t="n">
        <v>0.9834000000000001</v>
      </c>
      <c r="K73" s="32" t="n">
        <v>0.9834000000000001</v>
      </c>
      <c r="L73" s="20" t="inlineStr">
        <is>
          <t>2025A 429.00/436.23=98.34%</t>
        </is>
      </c>
    </row>
    <row r="74">
      <c r="A74" s="22" t="inlineStr">
        <is>
          <t>新能源上网电量</t>
        </is>
      </c>
      <c r="B74" s="20" t="inlineStr">
        <is>
          <t>亿kWh</t>
        </is>
      </c>
      <c r="C74" s="24" t="n">
        <v>138.23</v>
      </c>
      <c r="D74" s="24" t="n">
        <v>229.91</v>
      </c>
      <c r="E74" s="24" t="n">
        <v>326.63</v>
      </c>
      <c r="F74" s="24" t="n">
        <v>429</v>
      </c>
      <c r="G74" s="23">
        <f>G72*G73</f>
        <v>448.33230585000007</v>
      </c>
      <c r="H74" s="23">
        <f>H72*H73</f>
        <v>487.05368085000003</v>
      </c>
      <c r="I74" s="23">
        <f>I72*I73</f>
        <v>516.0947121</v>
      </c>
      <c r="J74" s="23">
        <f>J72*J73</f>
        <v>541.9089621</v>
      </c>
      <c r="K74" s="23">
        <f>K72*K73</f>
        <v>567.7232121000001</v>
      </c>
    </row>
    <row r="75">
      <c r="A75" s="22" t="inlineStr">
        <is>
          <t>新能源综合电价（含税）</t>
        </is>
      </c>
      <c r="B75" s="20" t="inlineStr">
        <is>
          <t>元/kWh</t>
        </is>
      </c>
      <c r="E75" s="33" t="n">
        <v>0.4203</v>
      </c>
      <c r="F75" s="33" t="n">
        <v>0.3732</v>
      </c>
      <c r="G75" s="34">
        <f>'Scenarios'!G36</f>
        <v>0.355</v>
      </c>
      <c r="H75" s="34">
        <f>'Scenarios'!H36</f>
        <v>0.345</v>
      </c>
      <c r="I75" s="34">
        <f>'Scenarios'!I36</f>
        <v>0.34</v>
      </c>
      <c r="J75" s="34">
        <f>'Scenarios'!J36</f>
        <v>0.335</v>
      </c>
      <c r="K75" s="34">
        <f>'Scenarios'!K36</f>
        <v>0.335</v>
      </c>
    </row>
    <row r="77">
      <c r="A77" s="12" t="inlineStr">
        <is>
          <t>D. 分产品/分电站收入 Revenue by product &amp; plant（不含增值税）</t>
        </is>
      </c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</row>
    <row r="78">
      <c r="A78" s="22" t="inlineStr">
        <is>
          <t xml:space="preserve">  秦山基地（含方家山，9台）</t>
        </is>
      </c>
      <c r="B78" s="20" t="inlineStr">
        <is>
          <t>亿元</t>
        </is>
      </c>
      <c r="G78" s="23">
        <f>G43*G58*G60/(1+G61)</f>
        <v>160.44382491769912</v>
      </c>
      <c r="H78" s="23">
        <f>H43*H58*H60/(1+H61)</f>
        <v>165.85353993982304</v>
      </c>
      <c r="I78" s="23">
        <f>I43*I58*I60/(1+I61)</f>
        <v>165.41244009955753</v>
      </c>
      <c r="J78" s="23">
        <f>J43*J58*J60/(1+J61)</f>
        <v>165.41244009955753</v>
      </c>
      <c r="K78" s="23">
        <f>K43*K58*K60/(1+K61)</f>
        <v>165.41244009955753</v>
      </c>
    </row>
    <row r="79">
      <c r="A79" s="22" t="inlineStr">
        <is>
          <t xml:space="preserve">  田湾 1–6 号</t>
        </is>
      </c>
      <c r="B79" s="20" t="inlineStr">
        <is>
          <t>亿元</t>
        </is>
      </c>
      <c r="G79" s="23">
        <f>G44*G58*G60/(1+G61)</f>
        <v>158.19349374159293</v>
      </c>
      <c r="H79" s="23">
        <f>H44*H58*H60/(1+H61)</f>
        <v>163.52733391858408</v>
      </c>
      <c r="I79" s="23">
        <f>I44*I58*I60/(1+I61)</f>
        <v>163.0924207964602</v>
      </c>
      <c r="J79" s="23">
        <f>J44*J58*J60/(1+J61)</f>
        <v>163.0924207964602</v>
      </c>
      <c r="K79" s="23">
        <f>K44*K58*K60/(1+K61)</f>
        <v>163.0924207964602</v>
      </c>
    </row>
    <row r="80">
      <c r="A80" s="22" t="inlineStr">
        <is>
          <t xml:space="preserve">  福清 1–6 号</t>
        </is>
      </c>
      <c r="B80" s="20" t="inlineStr">
        <is>
          <t>亿元</t>
        </is>
      </c>
      <c r="G80" s="23">
        <f>G45*G58*G60/(1+G61)</f>
        <v>159.86927227699118</v>
      </c>
      <c r="H80" s="23">
        <f>H45*H58*H60/(1+H61)</f>
        <v>165.2596149982301</v>
      </c>
      <c r="I80" s="23">
        <f>I45*I58*I60/(1+I61)</f>
        <v>164.8200947455752</v>
      </c>
      <c r="J80" s="23">
        <f>J45*J58*J60/(1+J61)</f>
        <v>164.8200947455752</v>
      </c>
      <c r="K80" s="23">
        <f>K45*K58*K60/(1+K61)</f>
        <v>164.8200947455752</v>
      </c>
    </row>
    <row r="81">
      <c r="A81" s="22" t="inlineStr">
        <is>
          <t xml:space="preserve">  三门 1–2 号（AP1000）</t>
        </is>
      </c>
      <c r="B81" s="20" t="inlineStr">
        <is>
          <t>亿元</t>
        </is>
      </c>
      <c r="G81" s="23">
        <f>G46*G58*G60/(1+G61)</f>
        <v>59.84923340707965</v>
      </c>
      <c r="H81" s="23">
        <f>H46*H58*H60/(1+H61)</f>
        <v>61.86718141592921</v>
      </c>
      <c r="I81" s="23">
        <f>I46*I58*I60/(1+I61)</f>
        <v>61.702641039823014</v>
      </c>
      <c r="J81" s="23">
        <f>J46*J58*J60/(1+J61)</f>
        <v>61.702641039823014</v>
      </c>
      <c r="K81" s="23">
        <f>K46*K58*K60/(1+K61)</f>
        <v>61.702641039823014</v>
      </c>
    </row>
    <row r="82">
      <c r="A82" s="22" t="inlineStr">
        <is>
          <t xml:space="preserve">  海南昌江 1–2 号</t>
        </is>
      </c>
      <c r="B82" s="20" t="inlineStr">
        <is>
          <t>亿元</t>
        </is>
      </c>
      <c r="G82" s="23">
        <f>G47*G58*G60/(1+G61)</f>
        <v>31.12160137168142</v>
      </c>
      <c r="H82" s="23">
        <f>H47*H58*H60/(1+H61)</f>
        <v>32.17093433628319</v>
      </c>
      <c r="I82" s="23">
        <f>I47*I58*I60/(1+I61)</f>
        <v>32.08537334070796</v>
      </c>
      <c r="J82" s="23">
        <f>J47*J58*J60/(1+J61)</f>
        <v>32.08537334070796</v>
      </c>
      <c r="K82" s="23">
        <f>K47*K58*K60/(1+K61)</f>
        <v>32.08537334070796</v>
      </c>
    </row>
    <row r="83">
      <c r="A83" s="22" t="inlineStr">
        <is>
          <t xml:space="preserve">  漳州 1–2 号（华龙一号）</t>
        </is>
      </c>
      <c r="B83" s="20" t="inlineStr">
        <is>
          <t>亿元</t>
        </is>
      </c>
      <c r="G83" s="23">
        <f>G48*G58*G60/(1+G61)</f>
        <v>58.029816711504424</v>
      </c>
      <c r="H83" s="23">
        <f>H48*H58*H60/(1+H61)</f>
        <v>59.98641910088496</v>
      </c>
      <c r="I83" s="23">
        <f>I48*I58*I60/(1+I61)</f>
        <v>59.826880752212396</v>
      </c>
      <c r="J83" s="23">
        <f>J48*J58*J60/(1+J61)</f>
        <v>59.826880752212396</v>
      </c>
      <c r="K83" s="23">
        <f>K48*K58*K60/(1+K61)</f>
        <v>59.826880752212396</v>
      </c>
    </row>
    <row r="84">
      <c r="A84" s="22" t="inlineStr">
        <is>
          <t xml:space="preserve">  田湾 7–8 号（新机组）</t>
        </is>
      </c>
      <c r="B84" s="20" t="inlineStr">
        <is>
          <t>亿元</t>
        </is>
      </c>
      <c r="G84" s="23">
        <f>G49*G58*G60/(1+G61)</f>
        <v>12.113484841592923</v>
      </c>
      <c r="H84" s="23">
        <f>H49*H58*H60/(1+H61)</f>
        <v>43.82671131504426</v>
      </c>
      <c r="I84" s="23">
        <f>I49*I58*I60/(1+I61)</f>
        <v>62.443072732300884</v>
      </c>
      <c r="J84" s="23">
        <f>J49*J58*J60/(1+J61)</f>
        <v>62.443072732300884</v>
      </c>
      <c r="K84" s="23">
        <f>K49*K58*K60/(1+K61)</f>
        <v>62.443072732300884</v>
      </c>
    </row>
    <row r="85">
      <c r="A85" s="22" t="inlineStr">
        <is>
          <t xml:space="preserve">  海南小堆（新机组）</t>
        </is>
      </c>
      <c r="B85" s="20" t="inlineStr">
        <is>
          <t>亿元</t>
        </is>
      </c>
      <c r="G85" s="23">
        <f>G50*G58*G60/(1+G61)</f>
        <v>1.1969846681415932</v>
      </c>
      <c r="H85" s="23">
        <f>H50*H58*H60/(1+H61)</f>
        <v>3.09335907079646</v>
      </c>
      <c r="I85" s="23">
        <f>I50*I58*I60/(1+I61)</f>
        <v>3.0851320519911503</v>
      </c>
      <c r="J85" s="23">
        <f>J50*J58*J60/(1+J61)</f>
        <v>3.0851320519911503</v>
      </c>
      <c r="K85" s="23">
        <f>K50*K58*K60/(1+K61)</f>
        <v>3.0851320519911503</v>
      </c>
    </row>
    <row r="86">
      <c r="A86" s="22" t="inlineStr">
        <is>
          <t xml:space="preserve">  三门 3–4 号（新机组）</t>
        </is>
      </c>
      <c r="B86" s="20" t="inlineStr">
        <is>
          <t>亿元</t>
        </is>
      </c>
      <c r="G86" s="23">
        <f>G51*G58*G60/(1+G61)</f>
        <v>0.0</v>
      </c>
      <c r="H86" s="23">
        <f>H51*H58*H60/(1+H61)</f>
        <v>24.76667006442478</v>
      </c>
      <c r="I86" s="23">
        <f>I51*I58*I60/(1+I61)</f>
        <v>61.752003152654865</v>
      </c>
      <c r="J86" s="23">
        <f>J51*J58*J60/(1+J61)</f>
        <v>61.752003152654865</v>
      </c>
      <c r="K86" s="23">
        <f>K51*K58*K60/(1+K61)</f>
        <v>61.752003152654865</v>
      </c>
    </row>
    <row r="87">
      <c r="A87" s="22" t="inlineStr">
        <is>
          <t xml:space="preserve">  徐大堡 1–4 号（新机组）</t>
        </is>
      </c>
      <c r="B87" s="20" t="inlineStr">
        <is>
          <t>亿元</t>
        </is>
      </c>
      <c r="G87" s="23">
        <f>G52*G58*G60/(1+G61)</f>
        <v>0.0</v>
      </c>
      <c r="H87" s="23">
        <f>H52*H58*H60/(1+H61)</f>
        <v>12.611006259823013</v>
      </c>
      <c r="I87" s="23">
        <f>I52*I58*I60/(1+I61)</f>
        <v>56.76642975663718</v>
      </c>
      <c r="J87" s="23">
        <f>J52*J58*J60/(1+J61)</f>
        <v>107.49587311393806</v>
      </c>
      <c r="K87" s="23">
        <f>K52*K58*K60/(1+K61)</f>
        <v>126.61381941371683</v>
      </c>
    </row>
    <row r="88">
      <c r="A88" s="22" t="inlineStr">
        <is>
          <t xml:space="preserve">  漳州 3–4 号（新机组）</t>
        </is>
      </c>
      <c r="B88" s="20" t="inlineStr">
        <is>
          <t>亿元</t>
        </is>
      </c>
      <c r="G88" s="23">
        <f>G53*G58*G60/(1+G61)</f>
        <v>0.0</v>
      </c>
      <c r="H88" s="23">
        <f>H53*H58*H60/(1+H61)</f>
        <v>0.0</v>
      </c>
      <c r="I88" s="23">
        <f>I53*I58*I60/(1+I61)</f>
        <v>0.0</v>
      </c>
      <c r="J88" s="23">
        <f>J53*J58*J60/(1+J61)</f>
        <v>23.930752300884958</v>
      </c>
      <c r="K88" s="23">
        <f>K53*K58*K60/(1+K61)</f>
        <v>59.826880752212396</v>
      </c>
    </row>
    <row r="89">
      <c r="A89" s="22" t="inlineStr">
        <is>
          <t xml:space="preserve">  金七门 1–2 号（新机组）</t>
        </is>
      </c>
      <c r="B89" s="20" t="inlineStr">
        <is>
          <t>亿元</t>
        </is>
      </c>
      <c r="G89" s="23">
        <f>G54*G58*G60/(1+G61)</f>
        <v>0.0</v>
      </c>
      <c r="H89" s="23">
        <f>H54*H58*H60/(1+H61)</f>
        <v>0.0</v>
      </c>
      <c r="I89" s="23">
        <f>I54*I58*I60/(1+I61)</f>
        <v>0.0</v>
      </c>
      <c r="J89" s="23">
        <f>J54*J58*J60/(1+J61)</f>
        <v>0.0</v>
      </c>
      <c r="K89" s="23">
        <f>K54*K58*K60/(1+K61)</f>
        <v>11.994993418141595</v>
      </c>
    </row>
    <row r="90">
      <c r="A90" s="22" t="inlineStr">
        <is>
          <t xml:space="preserve">  徐圩/三门 5–6/庄河/金七门 3–4（新机组）</t>
        </is>
      </c>
      <c r="B90" s="20" t="inlineStr">
        <is>
          <t>亿元</t>
        </is>
      </c>
      <c r="G90" s="23">
        <f>G55*G58*G60/(1+G61)</f>
        <v>0.0</v>
      </c>
      <c r="H90" s="23">
        <f>H55*H58*H60/(1+H61)</f>
        <v>0.0</v>
      </c>
      <c r="I90" s="23">
        <f>I55*I58*I60/(1+I61)</f>
        <v>0.0</v>
      </c>
      <c r="J90" s="23">
        <f>J55*J58*J60/(1+J61)</f>
        <v>0.0</v>
      </c>
      <c r="K90" s="23">
        <f>K55*K58*K60/(1+K61)</f>
        <v>0.0</v>
      </c>
    </row>
    <row r="91">
      <c r="A91" s="21" t="inlineStr">
        <is>
          <t>核电收入 Nuclear revenue</t>
        </is>
      </c>
      <c r="B91" s="20" t="inlineStr">
        <is>
          <t>亿元</t>
        </is>
      </c>
      <c r="E91" s="28">
        <f>E59*E60/(1+E61)</f>
        <v>629.1152743362833</v>
      </c>
      <c r="F91" s="28">
        <f>F59*F60/(1+F61)</f>
        <v>654.4722469026549</v>
      </c>
      <c r="G91" s="29">
        <f>SUM(G78:G90)</f>
        <v>640.8177119362832</v>
      </c>
      <c r="H91" s="29">
        <f>SUM(H78:H90)</f>
        <v>732.9627704198232</v>
      </c>
      <c r="I91" s="29">
        <f>SUM(I78:I90)</f>
        <v>830.9864884679204</v>
      </c>
      <c r="J91" s="29">
        <f>SUM(J78:J90)</f>
        <v>905.6466841261062</v>
      </c>
      <c r="K91" s="29">
        <f>SUM(K78:K90)</f>
        <v>972.655752295354</v>
      </c>
      <c r="L91" s="20" t="inlineStr">
        <is>
          <t>2024–25A=上网电量×综合电价/1.13（推算；2025 年报核电收入 654.53 亿）</t>
        </is>
      </c>
    </row>
    <row r="92">
      <c r="A92" s="22" t="inlineStr">
        <is>
          <t xml:space="preserve">  同比 YoY</t>
        </is>
      </c>
      <c r="B92" s="20" t="inlineStr">
        <is>
          <t>%</t>
        </is>
      </c>
      <c r="F92" s="31">
        <f>F91/E91-1</f>
        <v>0.040305765256014814</v>
      </c>
      <c r="G92" s="36">
        <f>G91/F91-1</f>
        <v>-0.020863428557884478</v>
      </c>
      <c r="H92" s="36">
        <f>H91/G91-1</f>
        <v>0.14379293325884546</v>
      </c>
      <c r="I92" s="36">
        <f>I91/H91-1</f>
        <v>0.1337362851212096</v>
      </c>
      <c r="J92" s="36">
        <f>J91/I91-1</f>
        <v>0.08984525824942824</v>
      </c>
      <c r="K92" s="36">
        <f>K91/J91-1</f>
        <v>0.07399029814138558</v>
      </c>
    </row>
    <row r="93">
      <c r="A93" s="22" t="inlineStr">
        <is>
          <t xml:space="preserve">  风电收入</t>
        </is>
      </c>
      <c r="B93" s="20" t="inlineStr">
        <is>
          <t>亿元</t>
        </is>
      </c>
      <c r="E93" s="25">
        <f>E70*E74/E72*E75/(1+E61)</f>
        <v>55.42271396361474</v>
      </c>
      <c r="F93" s="25">
        <f>F70*F74/F72*F75/(1+F61)</f>
        <v>62.731711635315946</v>
      </c>
      <c r="G93" s="23">
        <f>G70*G73*G75/(1+G61)</f>
        <v>62.50170751486726</v>
      </c>
      <c r="H93" s="23">
        <f>H70*H73*H75/(1+H61)</f>
        <v>66.41566214176991</v>
      </c>
      <c r="I93" s="23">
        <f>I70*I73*I75/(1+I61)</f>
        <v>69.64736082690266</v>
      </c>
      <c r="J93" s="23">
        <f>J70*J73*J75/(1+J61)</f>
        <v>72.29652555185842</v>
      </c>
      <c r="K93" s="23">
        <f>K70*K73*K75/(1+K61)</f>
        <v>75.96991617132745</v>
      </c>
    </row>
    <row r="94">
      <c r="A94" s="22" t="inlineStr">
        <is>
          <t xml:space="preserve">  光伏收入</t>
        </is>
      </c>
      <c r="B94" s="20" t="inlineStr">
        <is>
          <t>亿元</t>
        </is>
      </c>
      <c r="E94" s="25">
        <f>E71*E74/E72*E75/(1+E61)</f>
        <v>66.06630285054459</v>
      </c>
      <c r="F94" s="25">
        <f>F71*F74/F72*F75/(1+F61)</f>
        <v>78.95218216999379</v>
      </c>
      <c r="G94" s="23">
        <f>G71*G73*G75/(1+G61)</f>
        <v>78.34605228756638</v>
      </c>
      <c r="H94" s="23">
        <f>H71*H73*H75/(1+H61)</f>
        <v>82.28656785225665</v>
      </c>
      <c r="I94" s="23">
        <f>I71*I73*I75/(1+I61)</f>
        <v>85.63777378725666</v>
      </c>
      <c r="J94" s="23">
        <f>J71*J73*J75/(1+J61)</f>
        <v>88.35790126539824</v>
      </c>
      <c r="K94" s="23">
        <f>K71*K73*K75/(1+K61)</f>
        <v>92.33740776982305</v>
      </c>
    </row>
    <row r="95">
      <c r="A95" s="21" t="inlineStr">
        <is>
          <t>新能源收入 Renewables revenue</t>
        </is>
      </c>
      <c r="B95" s="20" t="inlineStr">
        <is>
          <t>亿元</t>
        </is>
      </c>
      <c r="E95" s="28">
        <f>E93+E94</f>
        <v>121.48901681415933</v>
      </c>
      <c r="F95" s="28">
        <f>F93+F94</f>
        <v>141.68389380530974</v>
      </c>
      <c r="G95" s="29">
        <f>G93+G94</f>
        <v>140.84775980243364</v>
      </c>
      <c r="H95" s="29">
        <f>H93+H94</f>
        <v>148.70222999402657</v>
      </c>
      <c r="I95" s="29">
        <f>I93+I94</f>
        <v>155.28513461415932</v>
      </c>
      <c r="J95" s="29">
        <f>J93+J94</f>
        <v>160.65442681725665</v>
      </c>
      <c r="K95" s="29">
        <f>K93+K94</f>
        <v>168.3073239411505</v>
      </c>
    </row>
    <row r="96">
      <c r="A96" s="22" t="inlineStr">
        <is>
          <t xml:space="preserve">  同比 YoY</t>
        </is>
      </c>
      <c r="B96" s="20" t="inlineStr">
        <is>
          <t>%</t>
        </is>
      </c>
      <c r="F96" s="31">
        <f>F95/E95-1</f>
        <v>0.16622800579613162</v>
      </c>
      <c r="G96" s="36">
        <f>G95/F95-1</f>
        <v>-0.005901404742765237</v>
      </c>
      <c r="H96" s="36">
        <f>H95/G95-1</f>
        <v>0.05576567353723161</v>
      </c>
      <c r="I96" s="36">
        <f>I95/H95-1</f>
        <v>0.04426903766269796</v>
      </c>
      <c r="J96" s="36">
        <f>J95/I95-1</f>
        <v>0.03457698778726326</v>
      </c>
      <c r="K96" s="36">
        <f>K95/J95-1</f>
        <v>0.04763576874603648</v>
      </c>
    </row>
    <row r="97">
      <c r="A97" s="21" t="inlineStr">
        <is>
          <t>电力收入合计（主营业务）</t>
        </is>
      </c>
      <c r="B97" s="20" t="inlineStr">
        <is>
          <t>亿元</t>
        </is>
      </c>
      <c r="C97" s="30" t="n">
        <v>699.4299999999999</v>
      </c>
      <c r="D97" s="30" t="n">
        <v>732.66</v>
      </c>
      <c r="E97" s="28">
        <f>E91+E95</f>
        <v>750.6042911504426</v>
      </c>
      <c r="F97" s="30" t="n">
        <v>796.22</v>
      </c>
      <c r="G97" s="29">
        <f>G91+G95</f>
        <v>781.6654717387169</v>
      </c>
      <c r="H97" s="29">
        <f>H91+H95</f>
        <v>881.6650004138497</v>
      </c>
      <c r="I97" s="29">
        <f>I91+I95</f>
        <v>986.2716230820797</v>
      </c>
      <c r="J97" s="29">
        <f>J91+J95</f>
        <v>1066.3011109433628</v>
      </c>
      <c r="K97" s="29">
        <f>K91+K95</f>
        <v>1140.9630762365045</v>
      </c>
      <c r="L97" s="20" t="inlineStr">
        <is>
          <t>2023A/2025A=年报主营业务分行业；2022A=2023 年值/(1+4.75%)；2024A=分产品加总</t>
        </is>
      </c>
    </row>
    <row r="98">
      <c r="A98" s="22" t="inlineStr">
        <is>
          <t>其他业务收入增速</t>
        </is>
      </c>
      <c r="B98" s="20" t="inlineStr">
        <is>
          <t>%</t>
        </is>
      </c>
      <c r="G98" s="32" t="n">
        <v>0.05</v>
      </c>
      <c r="H98" s="32" t="n">
        <v>0.05</v>
      </c>
      <c r="I98" s="32" t="n">
        <v>0.05</v>
      </c>
      <c r="J98" s="32" t="n">
        <v>0.05</v>
      </c>
      <c r="K98" s="32" t="n">
        <v>0.05</v>
      </c>
      <c r="L98" s="20" t="inlineStr">
        <is>
          <t>技术服务、核能供热、同位素等</t>
        </is>
      </c>
    </row>
    <row r="99">
      <c r="A99" s="22" t="inlineStr">
        <is>
          <t>其他业务收入 Other revenue</t>
        </is>
      </c>
      <c r="B99" s="20" t="inlineStr">
        <is>
          <t>亿元</t>
        </is>
      </c>
      <c r="C99" s="25">
        <f>'Income Statement'!C7-C97</f>
        <v>13.426008436400025</v>
      </c>
      <c r="D99" s="25">
        <f>'Income Statement'!D7-D97</f>
        <v>16.911802649600077</v>
      </c>
      <c r="E99" s="25">
        <f>'Income Statement'!E7-E97</f>
        <v>22.11629411595743</v>
      </c>
      <c r="F99" s="25">
        <f>'Income Statement'!F7-F97</f>
        <v>24.534952449499997</v>
      </c>
      <c r="G99" s="23">
        <f>F99*(1+G98)</f>
        <v>25.761700071975</v>
      </c>
      <c r="H99" s="23">
        <f>G99*(1+H98)</f>
        <v>27.04978507557375</v>
      </c>
      <c r="I99" s="23">
        <f>H99*(1+I98)</f>
        <v>28.40227432935244</v>
      </c>
      <c r="J99" s="23">
        <f>I99*(1+J98)</f>
        <v>29.822388045820063</v>
      </c>
      <c r="K99" s="23">
        <f>J99*(1+K98)</f>
        <v>31.313507448111068</v>
      </c>
    </row>
    <row r="100">
      <c r="A100" s="21" t="inlineStr">
        <is>
          <t>营业收入合计 Total revenue</t>
        </is>
      </c>
      <c r="B100" s="20" t="inlineStr">
        <is>
          <t>亿元</t>
        </is>
      </c>
      <c r="C100" s="28">
        <f>C97+C99</f>
        <v>712.8560084364</v>
      </c>
      <c r="D100" s="28">
        <f>D97+D99</f>
        <v>749.5718026496</v>
      </c>
      <c r="E100" s="28">
        <f>E97+E99</f>
        <v>772.7205852664</v>
      </c>
      <c r="F100" s="28">
        <f>F97+F99</f>
        <v>820.7549524495</v>
      </c>
      <c r="G100" s="29">
        <f>G97+G99</f>
        <v>807.4271718106919</v>
      </c>
      <c r="H100" s="29">
        <f>H97+H99</f>
        <v>908.7147854894234</v>
      </c>
      <c r="I100" s="29">
        <f>I97+I99</f>
        <v>1014.6738974114321</v>
      </c>
      <c r="J100" s="29">
        <f>J97+J99</f>
        <v>1096.123498989183</v>
      </c>
      <c r="K100" s="29">
        <f>K97+K99</f>
        <v>1172.2765836846156</v>
      </c>
    </row>
    <row r="101">
      <c r="A101" s="22" t="inlineStr">
        <is>
          <t xml:space="preserve">  同比 YoY</t>
        </is>
      </c>
      <c r="B101" s="20" t="inlineStr">
        <is>
          <t>%</t>
        </is>
      </c>
      <c r="D101" s="31">
        <f>D100/C100-1</f>
        <v>0.051505204106694125</v>
      </c>
      <c r="E101" s="31">
        <f>E100/D100-1</f>
        <v>0.0308826753287319</v>
      </c>
      <c r="F101" s="31">
        <f>F100/E100-1</f>
        <v>0.06216266021506334</v>
      </c>
      <c r="G101" s="36">
        <f>G100/F100-1</f>
        <v>-0.01623844071733238</v>
      </c>
      <c r="H101" s="36">
        <f>H100/G100-1</f>
        <v>0.12544489114924073</v>
      </c>
      <c r="I101" s="36">
        <f>I100/H100-1</f>
        <v>0.11660326607863025</v>
      </c>
      <c r="J101" s="36">
        <f>J100/I100-1</f>
        <v>0.08027170284516005</v>
      </c>
      <c r="K101" s="36">
        <f>K100/J100-1</f>
        <v>0.06947491296889363</v>
      </c>
    </row>
    <row r="102">
      <c r="A102" s="22" t="inlineStr">
        <is>
          <t xml:space="preserve">  核电收入占比</t>
        </is>
      </c>
      <c r="B102" s="20" t="inlineStr">
        <is>
          <t>%</t>
        </is>
      </c>
      <c r="E102" s="31">
        <f>E91/E100</f>
        <v>0.8141562245548203</v>
      </c>
      <c r="F102" s="31">
        <f>F91/F100</f>
        <v>0.7974027387217304</v>
      </c>
      <c r="G102" s="36">
        <f>G91/G100</f>
        <v>0.7936538852157038</v>
      </c>
      <c r="H102" s="36">
        <f>H91/H100</f>
        <v>0.8065927638946226</v>
      </c>
      <c r="I102" s="36">
        <f>I91/I100</f>
        <v>0.818969021069604</v>
      </c>
      <c r="J102" s="36">
        <f>J91/J100</f>
        <v>0.8262268667365222</v>
      </c>
      <c r="K102" s="36">
        <f>K91/K100</f>
        <v>0.8297152445356984</v>
      </c>
    </row>
    <row r="103">
      <c r="A103" s="22" t="inlineStr">
        <is>
          <t xml:space="preserve">  新能源收入占比</t>
        </is>
      </c>
      <c r="B103" s="20" t="inlineStr">
        <is>
          <t>%</t>
        </is>
      </c>
      <c r="E103" s="31">
        <f>E95/E100</f>
        <v>0.15722244124281387</v>
      </c>
      <c r="F103" s="31">
        <f>F95/F100</f>
        <v>0.1726263038467957</v>
      </c>
      <c r="G103" s="36">
        <f>G95/G100</f>
        <v>0.17444020305456923</v>
      </c>
      <c r="H103" s="36">
        <f>H95/H100</f>
        <v>0.16364015681106941</v>
      </c>
      <c r="I103" s="36">
        <f>I95/I100</f>
        <v>0.1530394494332734</v>
      </c>
      <c r="J103" s="36">
        <f>J95/J100</f>
        <v>0.14656599093570027</v>
      </c>
      <c r="K103" s="36">
        <f>K95/K100</f>
        <v>0.1435730494693829</v>
      </c>
    </row>
    <row r="105">
      <c r="A105" s="12" t="inlineStr">
        <is>
          <t>E. 分地区收入 Revenue by region（年报主营业务分地区；2022A/2024A 按同比增速倒推）</t>
        </is>
      </c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</row>
    <row r="106">
      <c r="A106" s="22" t="inlineStr">
        <is>
          <t xml:space="preserve">    华东 新能源收入占比（假设）</t>
        </is>
      </c>
      <c r="B106" s="20" t="inlineStr">
        <is>
          <t>%</t>
        </is>
      </c>
      <c r="G106" s="32" t="n">
        <v>0.162</v>
      </c>
      <c r="H106" s="32" t="n">
        <v>0.162</v>
      </c>
      <c r="I106" s="32" t="n">
        <v>0.162</v>
      </c>
      <c r="J106" s="32" t="n">
        <v>0.162</v>
      </c>
      <c r="K106" s="32" t="n">
        <v>0.162</v>
      </c>
      <c r="L106" s="20" t="inlineStr">
        <is>
          <t>2025A 推算：地区收入−地区核电收入</t>
        </is>
      </c>
    </row>
    <row r="107">
      <c r="A107" s="22" t="inlineStr">
        <is>
          <t xml:space="preserve">  华东地区收入</t>
        </is>
      </c>
      <c r="B107" s="20" t="inlineStr">
        <is>
          <t>亿元</t>
        </is>
      </c>
      <c r="C107" s="24" t="n">
        <v>611.1</v>
      </c>
      <c r="D107" s="24" t="n">
        <v>613.1799999999999</v>
      </c>
      <c r="E107" s="24" t="n">
        <v>617.04</v>
      </c>
      <c r="F107" s="24" t="n">
        <v>644.8</v>
      </c>
      <c r="G107" s="23">
        <f>G78+G79+G80+G81+G83+G84+G86+G88+G89+G95*G106+G90</f>
        <v>631.3164629844545</v>
      </c>
      <c r="H107" s="23">
        <f>H78+H79+H80+H81+H83+H84+H86+H88+H89+H95*H106+H90</f>
        <v>709.1772320119527</v>
      </c>
      <c r="I107" s="23">
        <f>I78+I79+I80+I81+I83+I84+I86+I88+I89+I95*I106+I90</f>
        <v>764.2057451260779</v>
      </c>
      <c r="J107" s="23">
        <f>J78+J79+J80+J81+J83+J84+J86+J88+J89+J95*J106+J90</f>
        <v>789.0063227638647</v>
      </c>
      <c r="K107" s="23">
        <f>K78+K79+K80+K81+K83+K84+K86+K88+K89+K95*K106+K90</f>
        <v>838.1372139674045</v>
      </c>
      <c r="L107" s="20" t="inlineStr">
        <is>
          <t>浙江/江苏/福建核电 + 新能源</t>
        </is>
      </c>
    </row>
    <row r="108">
      <c r="A108" s="22" t="inlineStr">
        <is>
          <t xml:space="preserve">    华南 新能源收入占比（假设）</t>
        </is>
      </c>
      <c r="B108" s="20" t="inlineStr">
        <is>
          <t>%</t>
        </is>
      </c>
      <c r="G108" s="32" t="n">
        <v>0.1102</v>
      </c>
      <c r="H108" s="32" t="n">
        <v>0.1102</v>
      </c>
      <c r="I108" s="32" t="n">
        <v>0.1102</v>
      </c>
      <c r="J108" s="32" t="n">
        <v>0.1102</v>
      </c>
      <c r="K108" s="32" t="n">
        <v>0.1102</v>
      </c>
      <c r="L108" s="20" t="inlineStr">
        <is>
          <t>2025A 推算：地区收入−地区核电收入</t>
        </is>
      </c>
    </row>
    <row r="109">
      <c r="A109" s="22" t="inlineStr">
        <is>
          <t xml:space="preserve">  华南地区收入</t>
        </is>
      </c>
      <c r="B109" s="20" t="inlineStr">
        <is>
          <t>亿元</t>
        </is>
      </c>
      <c r="C109" s="24" t="n">
        <v>40.39</v>
      </c>
      <c r="D109" s="24" t="n">
        <v>44.34</v>
      </c>
      <c r="E109" s="24" t="n">
        <v>44.16</v>
      </c>
      <c r="F109" s="24" t="n">
        <v>48.26</v>
      </c>
      <c r="G109" s="23">
        <f>G82+G85+G95*G108</f>
        <v>47.840009170051204</v>
      </c>
      <c r="H109" s="23">
        <f>H82+H85+H95*H108</f>
        <v>51.65127915242138</v>
      </c>
      <c r="I109" s="23">
        <f>I82+I85+I95*I108</f>
        <v>52.28292722717947</v>
      </c>
      <c r="J109" s="23">
        <f>J82+J85+J95*J108</f>
        <v>52.8746232279608</v>
      </c>
      <c r="K109" s="23">
        <f>K82+K85+K95*K108</f>
        <v>53.717972491013896</v>
      </c>
      <c r="L109" s="20" t="inlineStr">
        <is>
          <t>海南昌江核电 + 新能源</t>
        </is>
      </c>
    </row>
    <row r="110">
      <c r="A110" s="22" t="inlineStr">
        <is>
          <t xml:space="preserve">    东北 新能源收入占比（假设）</t>
        </is>
      </c>
      <c r="B110" s="20" t="inlineStr">
        <is>
          <t>%</t>
        </is>
      </c>
      <c r="G110" s="32" t="n">
        <v>0.0511</v>
      </c>
      <c r="H110" s="32" t="n">
        <v>0.0511</v>
      </c>
      <c r="I110" s="32" t="n">
        <v>0.0511</v>
      </c>
      <c r="J110" s="32" t="n">
        <v>0.0511</v>
      </c>
      <c r="K110" s="32" t="n">
        <v>0.0511</v>
      </c>
      <c r="L110" s="20" t="inlineStr">
        <is>
          <t>2025A 地区收入均为新能源</t>
        </is>
      </c>
    </row>
    <row r="111">
      <c r="A111" s="22" t="inlineStr">
        <is>
          <t xml:space="preserve">  东北地区收入</t>
        </is>
      </c>
      <c r="B111" s="20" t="inlineStr">
        <is>
          <t>亿元</t>
        </is>
      </c>
      <c r="C111" s="24" t="n">
        <v>0.92</v>
      </c>
      <c r="D111" s="24" t="n">
        <v>3.88</v>
      </c>
      <c r="E111" s="24" t="n">
        <v>6.86</v>
      </c>
      <c r="F111" s="24" t="n">
        <v>7.25</v>
      </c>
      <c r="G111" s="23">
        <f>G87+G95*G110</f>
        <v>7.197320525904359</v>
      </c>
      <c r="H111" s="23">
        <f>H87+H95*H110</f>
        <v>20.20969021251777</v>
      </c>
      <c r="I111" s="23">
        <f>I87+I95*I110</f>
        <v>64.70150013542072</v>
      </c>
      <c r="J111" s="23">
        <f>J87+J95*J110</f>
        <v>115.70531432429988</v>
      </c>
      <c r="K111" s="23">
        <f>K87+K95*K110</f>
        <v>135.21432366710962</v>
      </c>
      <c r="L111" s="20" t="inlineStr">
        <is>
          <t>辽宁徐大堡/庄河核电（2027E 起）+ 新能源</t>
        </is>
      </c>
    </row>
    <row r="112">
      <c r="A112" s="22" t="inlineStr">
        <is>
          <t xml:space="preserve">    华北 新能源收入占比（假设）</t>
        </is>
      </c>
      <c r="B112" s="20" t="inlineStr">
        <is>
          <t>%</t>
        </is>
      </c>
      <c r="G112" s="32" t="n">
        <v>0.1558</v>
      </c>
      <c r="H112" s="32" t="n">
        <v>0.1558</v>
      </c>
      <c r="I112" s="32" t="n">
        <v>0.1558</v>
      </c>
      <c r="J112" s="32" t="n">
        <v>0.1558</v>
      </c>
      <c r="K112" s="32" t="n">
        <v>0.1558</v>
      </c>
      <c r="L112" s="20" t="inlineStr">
        <is>
          <t>2025A 地区收入均为新能源</t>
        </is>
      </c>
    </row>
    <row r="113">
      <c r="A113" s="22" t="inlineStr">
        <is>
          <t xml:space="preserve">  华北地区收入</t>
        </is>
      </c>
      <c r="B113" s="20" t="inlineStr">
        <is>
          <t>亿元</t>
        </is>
      </c>
      <c r="C113" s="24" t="n">
        <v>8.199999999999999</v>
      </c>
      <c r="D113" s="24" t="n">
        <v>16.3</v>
      </c>
      <c r="E113" s="24" t="n">
        <v>18.46</v>
      </c>
      <c r="F113" s="24" t="n">
        <v>22.08</v>
      </c>
      <c r="G113" s="23">
        <f>G95*G112</f>
        <v>21.944080977219162</v>
      </c>
      <c r="H113" s="23">
        <f>H95*H112</f>
        <v>23.16780743306934</v>
      </c>
      <c r="I113" s="23">
        <f>I95*I112</f>
        <v>24.19342397288602</v>
      </c>
      <c r="J113" s="23">
        <f>J95*J112</f>
        <v>25.029959698128586</v>
      </c>
      <c r="K113" s="23">
        <f>K95*K112</f>
        <v>26.22228107003125</v>
      </c>
      <c r="L113" s="20" t="inlineStr">
        <is>
          <t>新能源</t>
        </is>
      </c>
    </row>
    <row r="114">
      <c r="A114" s="22" t="inlineStr">
        <is>
          <t xml:space="preserve">    华中 新能源收入占比（假设）</t>
        </is>
      </c>
      <c r="B114" s="20" t="inlineStr">
        <is>
          <t>%</t>
        </is>
      </c>
      <c r="G114" s="32" t="n">
        <v>0.097</v>
      </c>
      <c r="H114" s="32" t="n">
        <v>0.097</v>
      </c>
      <c r="I114" s="32" t="n">
        <v>0.097</v>
      </c>
      <c r="J114" s="32" t="n">
        <v>0.097</v>
      </c>
      <c r="K114" s="32" t="n">
        <v>0.097</v>
      </c>
      <c r="L114" s="20" t="inlineStr">
        <is>
          <t>2025A 地区收入均为新能源</t>
        </is>
      </c>
    </row>
    <row r="115">
      <c r="A115" s="22" t="inlineStr">
        <is>
          <t xml:space="preserve">  华中地区收入</t>
        </is>
      </c>
      <c r="B115" s="20" t="inlineStr">
        <is>
          <t>亿元</t>
        </is>
      </c>
      <c r="C115" s="24" t="n">
        <v>4.45</v>
      </c>
      <c r="D115" s="24" t="n">
        <v>5.04</v>
      </c>
      <c r="E115" s="24" t="n">
        <v>10.14</v>
      </c>
      <c r="F115" s="24" t="n">
        <v>13.75</v>
      </c>
      <c r="G115" s="23">
        <f>G95*G114</f>
        <v>13.662232700836064</v>
      </c>
      <c r="H115" s="23">
        <f>H95*H114</f>
        <v>14.424116309420578</v>
      </c>
      <c r="I115" s="23">
        <f>I95*I114</f>
        <v>15.062658057573454</v>
      </c>
      <c r="J115" s="23">
        <f>J95*J114</f>
        <v>15.583479401273895</v>
      </c>
      <c r="K115" s="23">
        <f>K95*K114</f>
        <v>16.3258104222916</v>
      </c>
      <c r="L115" s="20" t="inlineStr">
        <is>
          <t>新能源</t>
        </is>
      </c>
    </row>
    <row r="116">
      <c r="A116" s="22" t="inlineStr">
        <is>
          <t xml:space="preserve">    西南 新能源收入占比（假设）</t>
        </is>
      </c>
      <c r="B116" s="20" t="inlineStr">
        <is>
          <t>%</t>
        </is>
      </c>
      <c r="G116" s="32" t="n">
        <v>0.1025</v>
      </c>
      <c r="H116" s="32" t="n">
        <v>0.1025</v>
      </c>
      <c r="I116" s="32" t="n">
        <v>0.1025</v>
      </c>
      <c r="J116" s="32" t="n">
        <v>0.1025</v>
      </c>
      <c r="K116" s="32" t="n">
        <v>0.1025</v>
      </c>
      <c r="L116" s="20" t="inlineStr">
        <is>
          <t>2025A 地区收入均为新能源</t>
        </is>
      </c>
    </row>
    <row r="117">
      <c r="A117" s="22" t="inlineStr">
        <is>
          <t xml:space="preserve">  西南地区收入</t>
        </is>
      </c>
      <c r="B117" s="20" t="inlineStr">
        <is>
          <t>亿元</t>
        </is>
      </c>
      <c r="C117" s="24" t="n">
        <v>4.23</v>
      </c>
      <c r="D117" s="24" t="n">
        <v>9.34</v>
      </c>
      <c r="E117" s="24" t="n">
        <v>11.75</v>
      </c>
      <c r="F117" s="24" t="n">
        <v>14.53</v>
      </c>
      <c r="G117" s="23">
        <f>G95*G116</f>
        <v>14.436895379749448</v>
      </c>
      <c r="H117" s="23">
        <f>H95*H116</f>
        <v>15.241978574387723</v>
      </c>
      <c r="I117" s="23">
        <f>I95*I116</f>
        <v>15.91672629795133</v>
      </c>
      <c r="J117" s="23">
        <f>J95*J116</f>
        <v>16.467078748768806</v>
      </c>
      <c r="K117" s="23">
        <f>K95*K116</f>
        <v>17.251500703967928</v>
      </c>
      <c r="L117" s="20" t="inlineStr">
        <is>
          <t>新能源</t>
        </is>
      </c>
    </row>
    <row r="118">
      <c r="A118" s="22" t="inlineStr">
        <is>
          <t xml:space="preserve">    西北 新能源收入占比（假设）</t>
        </is>
      </c>
      <c r="B118" s="20" t="inlineStr">
        <is>
          <t>%</t>
        </is>
      </c>
      <c r="G118" s="32" t="n">
        <v>0.3088</v>
      </c>
      <c r="H118" s="32" t="n">
        <v>0.3088</v>
      </c>
      <c r="I118" s="32" t="n">
        <v>0.3088</v>
      </c>
      <c r="J118" s="32" t="n">
        <v>0.3088</v>
      </c>
      <c r="K118" s="32" t="n">
        <v>0.3088</v>
      </c>
      <c r="L118" s="20" t="inlineStr">
        <is>
          <t>2025A 地区收入均为新能源</t>
        </is>
      </c>
    </row>
    <row r="119">
      <c r="A119" s="22" t="inlineStr">
        <is>
          <t xml:space="preserve">  西北地区收入</t>
        </is>
      </c>
      <c r="B119" s="20" t="inlineStr">
        <is>
          <t>亿元</t>
        </is>
      </c>
      <c r="C119" s="24" t="n">
        <v>30.12</v>
      </c>
      <c r="D119" s="24" t="n">
        <v>40.58</v>
      </c>
      <c r="E119" s="24" t="n">
        <v>41.39</v>
      </c>
      <c r="F119" s="24" t="n">
        <v>43.77</v>
      </c>
      <c r="G119" s="23">
        <f>G95*G118</f>
        <v>43.49378822699151</v>
      </c>
      <c r="H119" s="23">
        <f>H95*H118</f>
        <v>45.91924862215541</v>
      </c>
      <c r="I119" s="23">
        <f>I95*I118</f>
        <v>47.9520495688524</v>
      </c>
      <c r="J119" s="23">
        <f>J95*J118</f>
        <v>49.61008700116886</v>
      </c>
      <c r="K119" s="23">
        <f>K95*K118</f>
        <v>51.97330163302728</v>
      </c>
      <c r="L119" s="20" t="inlineStr">
        <is>
          <t>新能源</t>
        </is>
      </c>
    </row>
    <row r="120">
      <c r="A120" s="22" t="inlineStr">
        <is>
          <t xml:space="preserve">    境外 新能源收入占比（假设）</t>
        </is>
      </c>
      <c r="B120" s="20" t="inlineStr">
        <is>
          <t>%</t>
        </is>
      </c>
      <c r="G120" s="36">
        <f>1-(G106+G108+G110+G112+G114+G116+G118)</f>
        <v>0.012599999999999945</v>
      </c>
      <c r="H120" s="36">
        <f>1-(H106+H108+H110+H112+H114+H116+H118)</f>
        <v>0.012599999999999945</v>
      </c>
      <c r="I120" s="36">
        <f>1-(I106+I108+I110+I112+I114+I116+I118)</f>
        <v>0.012599999999999945</v>
      </c>
      <c r="J120" s="36">
        <f>1-(J106+J108+J110+J112+J114+J116+J118)</f>
        <v>0.012599999999999945</v>
      </c>
      <c r="K120" s="36">
        <f>1-(K106+K108+K110+K112+K114+K116+K118)</f>
        <v>0.012599999999999945</v>
      </c>
      <c r="L120" s="20" t="inlineStr">
        <is>
          <t>2025A 地区收入均为新能源</t>
        </is>
      </c>
    </row>
    <row r="121">
      <c r="A121" s="22" t="inlineStr">
        <is>
          <t xml:space="preserve">  境外地区收入</t>
        </is>
      </c>
      <c r="B121" s="20" t="inlineStr">
        <is>
          <t>亿元</t>
        </is>
      </c>
      <c r="C121" s="24" t="n">
        <v>0</v>
      </c>
      <c r="D121" s="24" t="n">
        <v>0</v>
      </c>
      <c r="E121" s="24" t="n">
        <v>0.87</v>
      </c>
      <c r="F121" s="24" t="n">
        <v>1.79</v>
      </c>
      <c r="G121" s="23">
        <f>G95*G120</f>
        <v>1.7746817735106561</v>
      </c>
      <c r="H121" s="23">
        <f>H95*H120</f>
        <v>1.8736480979247265</v>
      </c>
      <c r="I121" s="23">
        <f>I95*I120</f>
        <v>1.9565926961383988</v>
      </c>
      <c r="J121" s="23">
        <f>J95*J120</f>
        <v>2.0242457778974248</v>
      </c>
      <c r="K121" s="23">
        <f>K95*K120</f>
        <v>2.120672281658487</v>
      </c>
      <c r="L121" s="20" t="inlineStr">
        <is>
          <t>新能源</t>
        </is>
      </c>
    </row>
    <row r="122">
      <c r="A122" s="21" t="inlineStr">
        <is>
          <t>分地区电力收入合计</t>
        </is>
      </c>
      <c r="B122" s="20" t="inlineStr">
        <is>
          <t>亿元</t>
        </is>
      </c>
      <c r="C122" s="28">
        <f>C107+C109+C111+C113+C115+C117+C119+C121</f>
        <v>699.4100000000001</v>
      </c>
      <c r="D122" s="28">
        <f>D107+D109+D111+D113+D115+D117+D119+D121</f>
        <v>732.66</v>
      </c>
      <c r="E122" s="28">
        <f>E107+E109+E111+E113+E115+E117+E119+E121</f>
        <v>750.67</v>
      </c>
      <c r="F122" s="28">
        <f>F107+F109+F111+F113+F115+F117+F119+F121</f>
        <v>796.2299999999999</v>
      </c>
      <c r="G122" s="29">
        <f>G107+G109+G111+G113+G115+G117+G119+G121</f>
        <v>781.665471738717</v>
      </c>
      <c r="H122" s="29">
        <f>H107+H109+H111+H113+H115+H117+H119+H121</f>
        <v>881.6650004138497</v>
      </c>
      <c r="I122" s="29">
        <f>I107+I109+I111+I113+I115+I117+I119+I121</f>
        <v>986.2716230820796</v>
      </c>
      <c r="J122" s="29">
        <f>J107+J109+J111+J113+J115+J117+J119+J121</f>
        <v>1066.301110943363</v>
      </c>
      <c r="K122" s="29">
        <f>K107+K109+K111+K113+K115+K117+K119+K121</f>
        <v>1140.9630762365043</v>
      </c>
    </row>
    <row r="123">
      <c r="A123" s="22" t="inlineStr">
        <is>
          <t>其他业务收入（未分地区）</t>
        </is>
      </c>
      <c r="B123" s="20" t="inlineStr">
        <is>
          <t>亿元</t>
        </is>
      </c>
      <c r="C123" s="25">
        <f>C99</f>
        <v>13.426008436400025</v>
      </c>
      <c r="D123" s="25">
        <f>D99</f>
        <v>16.911802649600077</v>
      </c>
      <c r="E123" s="25">
        <f>E99</f>
        <v>22.11629411595743</v>
      </c>
      <c r="F123" s="25">
        <f>F99</f>
        <v>24.534952449499997</v>
      </c>
      <c r="G123" s="23">
        <f>G99</f>
        <v>25.761700071975</v>
      </c>
      <c r="H123" s="23">
        <f>H99</f>
        <v>27.04978507557375</v>
      </c>
      <c r="I123" s="23">
        <f>I99</f>
        <v>28.40227432935244</v>
      </c>
      <c r="J123" s="23">
        <f>J99</f>
        <v>29.822388045820063</v>
      </c>
      <c r="K123" s="23">
        <f>K99</f>
        <v>31.313507448111068</v>
      </c>
    </row>
    <row r="124">
      <c r="A124" s="21" t="inlineStr">
        <is>
          <t>分地区合计 = 营业收入</t>
        </is>
      </c>
      <c r="B124" s="20" t="inlineStr">
        <is>
          <t>亿元</t>
        </is>
      </c>
      <c r="C124" s="28">
        <f>C122+C123</f>
        <v>712.8360084364001</v>
      </c>
      <c r="D124" s="28">
        <f>D122+D123</f>
        <v>749.5718026496</v>
      </c>
      <c r="E124" s="28">
        <f>E122+E123</f>
        <v>772.7862941159574</v>
      </c>
      <c r="F124" s="28">
        <f>F122+F123</f>
        <v>820.7649524494999</v>
      </c>
      <c r="G124" s="29">
        <f>G122+G123</f>
        <v>807.427171810692</v>
      </c>
      <c r="H124" s="29">
        <f>H122+H123</f>
        <v>908.7147854894234</v>
      </c>
      <c r="I124" s="29">
        <f>I122+I123</f>
        <v>1014.673897411432</v>
      </c>
      <c r="J124" s="29">
        <f>J122+J123</f>
        <v>1096.1234989891832</v>
      </c>
      <c r="K124" s="29">
        <f>K122+K123</f>
        <v>1172.2765836846154</v>
      </c>
    </row>
    <row r="125">
      <c r="A125" s="22" t="inlineStr">
        <is>
          <t xml:space="preserve">  华东占比</t>
        </is>
      </c>
      <c r="B125" s="20" t="inlineStr">
        <is>
          <t>%</t>
        </is>
      </c>
      <c r="C125" s="31">
        <f>C107/C124</f>
        <v>0.857279925210909</v>
      </c>
      <c r="D125" s="31">
        <f>D107/D124</f>
        <v>0.8180403769625807</v>
      </c>
      <c r="E125" s="31">
        <f>E107/E124</f>
        <v>0.7984613659664783</v>
      </c>
      <c r="F125" s="31">
        <f>F107/F124</f>
        <v>0.7856085936365238</v>
      </c>
      <c r="G125" s="36">
        <f>G107/G124</f>
        <v>0.7818865713531769</v>
      </c>
      <c r="H125" s="36">
        <f>H107/H124</f>
        <v>0.7804178421395421</v>
      </c>
      <c r="I125" s="36">
        <f>I107/I124</f>
        <v>0.753154040007995</v>
      </c>
      <c r="J125" s="36">
        <f>J107/J124</f>
        <v>0.7198151699981489</v>
      </c>
      <c r="K125" s="36">
        <f>K107/K124</f>
        <v>0.7149654148452167</v>
      </c>
    </row>
    <row r="126">
      <c r="A126" s="22" t="inlineStr">
        <is>
          <t xml:space="preserve">  东北占比</t>
        </is>
      </c>
      <c r="B126" s="20" t="inlineStr">
        <is>
          <t>%</t>
        </is>
      </c>
      <c r="C126" s="31">
        <f>C111/C124</f>
        <v>0.0012906194259434403</v>
      </c>
      <c r="D126" s="31">
        <f>D111/D124</f>
        <v>0.0051762886307688</v>
      </c>
      <c r="E126" s="31">
        <f>E111/E124</f>
        <v>0.008876969030419488</v>
      </c>
      <c r="F126" s="31">
        <f>F111/F124</f>
        <v>0.00883322317596898</v>
      </c>
      <c r="G126" s="36">
        <f>G111/G124</f>
        <v>0.008913894376088485</v>
      </c>
      <c r="H126" s="36">
        <f>H111/H124</f>
        <v>0.02223986066390794</v>
      </c>
      <c r="I126" s="36">
        <f>I111/I124</f>
        <v>0.06376580722188956</v>
      </c>
      <c r="J126" s="36">
        <f>J111/J124</f>
        <v>0.10555864775365215</v>
      </c>
      <c r="K126" s="36">
        <f>K111/K124</f>
        <v>0.11534336311838089</v>
      </c>
    </row>
    <row r="127">
      <c r="A127" s="22" t="inlineStr">
        <is>
          <t xml:space="preserve">  新能源地区占比合计（应=100%）</t>
        </is>
      </c>
      <c r="B127" s="20" t="inlineStr">
        <is>
          <t>%</t>
        </is>
      </c>
      <c r="G127" s="36">
        <f>G106+G108+G110+G112+G114+G116+G118+G120</f>
        <v>1.0</v>
      </c>
      <c r="H127" s="36">
        <f>H106+H108+H110+H112+H114+H116+H118+H120</f>
        <v>1.0</v>
      </c>
      <c r="I127" s="36">
        <f>I106+I108+I110+I112+I114+I116+I118+I120</f>
        <v>1.0</v>
      </c>
      <c r="J127" s="36">
        <f>J106+J108+J110+J112+J114+J116+J118+J120</f>
        <v>1.0</v>
      </c>
      <c r="K127" s="36">
        <f>K106+K108+K110+K112+K114+K116+K118+K120</f>
        <v>1.0</v>
      </c>
    </row>
    <row r="129">
      <c r="A129" s="7" t="inlineStr">
        <is>
          <t>2026H1A 参考：核电发电 979.72 亿kWh（-1.89%）、上网 916.09；新能源发电 216.97（-1.00%）、上网 213.10；营业收入 383.98 亿（-6.28%）。</t>
        </is>
      </c>
    </row>
    <row r="130">
      <c r="A130" s="7" t="inlineStr">
        <is>
          <t>推算 2026H1 核电含税电价≈0.377 元/kWh（=（营收−新能源约 66 亿−其他约 12 亿）×1.13/916.09），用于校准 2026E 基准电价 0.3780。</t>
        </is>
      </c>
    </row>
    <row r="131">
      <c r="A131" s="7" t="inlineStr">
        <is>
          <t>公司 2026 年发电计划：合计 2,592 亿kWh（核电 2,100、新能源 492）——基准情景低于计划，反映上半年大修集中。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N8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60" customWidth="1" min="12" max="12"/>
    <col width="12" customWidth="1" min="13" max="13"/>
    <col width="11" customWidth="1" min="14" max="14"/>
  </cols>
  <sheetData>
    <row r="1">
      <c r="A1" s="6" t="inlineStr">
        <is>
          <t>利润表 Income Statement（合并口径）</t>
        </is>
      </c>
    </row>
    <row r="2">
      <c r="A2" s="7" t="inlineStr">
        <is>
          <t>单位：亿元人民币（另有注明除外）｜蓝色=硬编码输入　黑色=公式　绿色=跨表链接｜A=实际 E=预测</t>
        </is>
      </c>
    </row>
    <row r="3">
      <c r="A3" s="8" t="inlineStr">
        <is>
          <t>项目 / Line item</t>
        </is>
      </c>
      <c r="B3" s="9" t="inlineStr">
        <is>
          <t>单位</t>
        </is>
      </c>
      <c r="C3" s="10" t="n">
        <v>2022</v>
      </c>
      <c r="D3" s="10" t="n">
        <v>2023</v>
      </c>
      <c r="E3" s="10" t="n">
        <v>2024</v>
      </c>
      <c r="F3" s="10" t="n">
        <v>2025</v>
      </c>
      <c r="G3" s="11" t="n">
        <v>2026</v>
      </c>
      <c r="H3" s="11" t="n">
        <v>2027</v>
      </c>
      <c r="I3" s="11" t="n">
        <v>2028</v>
      </c>
      <c r="J3" s="11" t="n">
        <v>2029</v>
      </c>
      <c r="K3" s="11" t="n">
        <v>2030</v>
      </c>
      <c r="L3" s="9" t="inlineStr">
        <is>
          <t>来源 / 说明</t>
        </is>
      </c>
      <c r="M3" s="37" t="inlineStr">
        <is>
          <t>2026H1A</t>
        </is>
      </c>
      <c r="N3" s="37" t="inlineStr">
        <is>
          <t>H1/2026E</t>
        </is>
      </c>
    </row>
    <row r="6">
      <c r="A6" s="12" t="inlineStr">
        <is>
          <t>收入 Revenue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</row>
    <row r="7">
      <c r="A7" s="21" t="inlineStr">
        <is>
          <t>营业收入 Operating revenue</t>
        </is>
      </c>
      <c r="B7" s="20" t="inlineStr">
        <is>
          <t>亿元</t>
        </is>
      </c>
      <c r="C7" s="30" t="n">
        <v>712.8560084364</v>
      </c>
      <c r="D7" s="30" t="n">
        <v>749.5718026496</v>
      </c>
      <c r="E7" s="30" t="n">
        <v>772.7205852664</v>
      </c>
      <c r="F7" s="30" t="n">
        <v>820.7549524495</v>
      </c>
      <c r="G7" s="38">
        <f>'Revenue Model'!G100</f>
        <v>807.4271718106919</v>
      </c>
      <c r="H7" s="38">
        <f>'Revenue Model'!H100</f>
        <v>908.7147854894234</v>
      </c>
      <c r="I7" s="38">
        <f>'Revenue Model'!I100</f>
        <v>1014.6738974114321</v>
      </c>
      <c r="J7" s="38">
        <f>'Revenue Model'!J100</f>
        <v>1096.123498989183</v>
      </c>
      <c r="K7" s="38">
        <f>'Revenue Model'!K100</f>
        <v>1172.2765836846156</v>
      </c>
      <c r="L7" s="20" t="inlineStr">
        <is>
          <t>历史：年报合并利润表；预测：Revenue Model</t>
        </is>
      </c>
      <c r="M7" s="15" t="n">
        <v>383.978924696</v>
      </c>
      <c r="N7" s="39">
        <f>IFERROR(M7/G7,"")</f>
        <v>0.4755585867080865</v>
      </c>
    </row>
    <row r="8">
      <c r="A8" s="22" t="inlineStr">
        <is>
          <t xml:space="preserve">  同比 YoY</t>
        </is>
      </c>
      <c r="B8" s="20" t="inlineStr">
        <is>
          <t>%</t>
        </is>
      </c>
      <c r="D8" s="31">
        <f>D7/C7-1</f>
        <v>0.051505204106694125</v>
      </c>
      <c r="E8" s="31">
        <f>E7/D7-1</f>
        <v>0.0308826753287319</v>
      </c>
      <c r="F8" s="31">
        <f>F7/E7-1</f>
        <v>0.06216266021506334</v>
      </c>
      <c r="G8" s="36">
        <f>G7/F7-1</f>
        <v>-0.01623844071733238</v>
      </c>
      <c r="H8" s="36">
        <f>H7/G7-1</f>
        <v>0.12544489114924073</v>
      </c>
      <c r="I8" s="36">
        <f>I7/H7-1</f>
        <v>0.11660326607863025</v>
      </c>
      <c r="J8" s="36">
        <f>J7/I7-1</f>
        <v>0.08027170284516005</v>
      </c>
      <c r="K8" s="36">
        <f>K7/J7-1</f>
        <v>0.06947491296889363</v>
      </c>
    </row>
    <row r="9">
      <c r="A9" s="22" t="inlineStr">
        <is>
          <t xml:space="preserve">    其中：核电</t>
        </is>
      </c>
      <c r="B9" s="20" t="inlineStr">
        <is>
          <t>亿元</t>
        </is>
      </c>
      <c r="E9" s="40">
        <f>'Revenue Model'!E91</f>
        <v>629.1152743362833</v>
      </c>
      <c r="F9" s="40">
        <f>'Revenue Model'!F91</f>
        <v>654.4722469026549</v>
      </c>
      <c r="G9" s="41">
        <f>'Revenue Model'!G91</f>
        <v>640.8177119362832</v>
      </c>
      <c r="H9" s="41">
        <f>'Revenue Model'!H91</f>
        <v>732.9627704198232</v>
      </c>
      <c r="I9" s="41">
        <f>'Revenue Model'!I91</f>
        <v>830.9864884679204</v>
      </c>
      <c r="J9" s="41">
        <f>'Revenue Model'!J91</f>
        <v>905.6466841261062</v>
      </c>
      <c r="K9" s="41">
        <f>'Revenue Model'!K91</f>
        <v>972.655752295354</v>
      </c>
    </row>
    <row r="10">
      <c r="A10" s="22" t="inlineStr">
        <is>
          <t xml:space="preserve">    其中：新能源</t>
        </is>
      </c>
      <c r="B10" s="20" t="inlineStr">
        <is>
          <t>亿元</t>
        </is>
      </c>
      <c r="E10" s="40">
        <f>'Revenue Model'!E95</f>
        <v>121.48901681415933</v>
      </c>
      <c r="F10" s="40">
        <f>'Revenue Model'!F95</f>
        <v>141.68389380530974</v>
      </c>
      <c r="G10" s="41">
        <f>'Revenue Model'!G95</f>
        <v>140.84775980243364</v>
      </c>
      <c r="H10" s="41">
        <f>'Revenue Model'!H95</f>
        <v>148.70222999402657</v>
      </c>
      <c r="I10" s="41">
        <f>'Revenue Model'!I95</f>
        <v>155.28513461415932</v>
      </c>
      <c r="J10" s="41">
        <f>'Revenue Model'!J95</f>
        <v>160.65442681725665</v>
      </c>
      <c r="K10" s="41">
        <f>'Revenue Model'!K95</f>
        <v>168.3073239411505</v>
      </c>
    </row>
    <row r="11">
      <c r="A11" s="22" t="inlineStr">
        <is>
          <t xml:space="preserve">    其中：其他业务</t>
        </is>
      </c>
      <c r="B11" s="20" t="inlineStr">
        <is>
          <t>亿元</t>
        </is>
      </c>
      <c r="C11" s="40">
        <f>'Revenue Model'!C99</f>
        <v>13.426008436400025</v>
      </c>
      <c r="D11" s="40">
        <f>'Revenue Model'!D99</f>
        <v>16.911802649600077</v>
      </c>
      <c r="E11" s="40">
        <f>'Revenue Model'!E99</f>
        <v>22.11629411595743</v>
      </c>
      <c r="F11" s="40">
        <f>'Revenue Model'!F99</f>
        <v>24.534952449499997</v>
      </c>
      <c r="G11" s="41">
        <f>'Revenue Model'!G99</f>
        <v>25.761700071975</v>
      </c>
      <c r="H11" s="41">
        <f>'Revenue Model'!H99</f>
        <v>27.04978507557375</v>
      </c>
      <c r="I11" s="41">
        <f>'Revenue Model'!I99</f>
        <v>28.40227432935244</v>
      </c>
      <c r="J11" s="41">
        <f>'Revenue Model'!J99</f>
        <v>29.822388045820063</v>
      </c>
      <c r="K11" s="41">
        <f>'Revenue Model'!K99</f>
        <v>31.313507448111068</v>
      </c>
    </row>
    <row r="13">
      <c r="A13" s="12" t="inlineStr">
        <is>
          <t>营业成本驱动 COGS drivers（成本分析表口径）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</row>
    <row r="14">
      <c r="A14" s="22" t="inlineStr">
        <is>
          <t>核燃料单位成本</t>
        </is>
      </c>
      <c r="B14" s="20" t="inlineStr">
        <is>
          <t>元/kWh</t>
        </is>
      </c>
      <c r="E14" s="42">
        <f>E24/'Revenue Model'!E57</f>
        <v>0.041262437063815376</v>
      </c>
      <c r="F14" s="42">
        <f>F24/'Revenue Model'!F57</f>
        <v>0.043348986838108235</v>
      </c>
      <c r="G14" s="43">
        <f>F14*(1+'Scenarios'!G66)</f>
        <v>0.045082946311632566</v>
      </c>
      <c r="H14" s="43">
        <f>G14*(1+'Scenarios'!H66)</f>
        <v>0.04688626416409787</v>
      </c>
      <c r="I14" s="43">
        <f>H14*(1+'Scenarios'!I66)</f>
        <v>0.048761714730661786</v>
      </c>
      <c r="J14" s="43">
        <f>I14*(1+'Scenarios'!J66)</f>
        <v>0.050712183319888256</v>
      </c>
      <c r="K14" s="43">
        <f>J14*(1+'Scenarios'!K66)</f>
        <v>0.052740670652683785</v>
      </c>
    </row>
    <row r="15">
      <c r="A15" s="22" t="inlineStr">
        <is>
          <t>乏燃料处置基金</t>
        </is>
      </c>
      <c r="B15" s="20" t="inlineStr">
        <is>
          <t>元/kWh</t>
        </is>
      </c>
      <c r="E15" s="42">
        <f>E25/'Revenue Model'!E57</f>
        <v>0.019228492480422885</v>
      </c>
      <c r="F15" s="42">
        <f>F25/'Revenue Model'!F57</f>
        <v>0.01859193155617085</v>
      </c>
      <c r="G15" s="44" t="n">
        <v>0.0186</v>
      </c>
      <c r="H15" s="44" t="n">
        <v>0.0186</v>
      </c>
      <c r="I15" s="44" t="n">
        <v>0.0186</v>
      </c>
      <c r="J15" s="44" t="n">
        <v>0.0186</v>
      </c>
      <c r="K15" s="44" t="n">
        <v>0.0186</v>
      </c>
      <c r="L15" s="20" t="inlineStr">
        <is>
          <t>国家标准 0.026 元/kWh（投运满 5 年机组）；2025A 全机队平均 0.0186</t>
        </is>
      </c>
    </row>
    <row r="16">
      <c r="A16" s="22" t="inlineStr">
        <is>
          <t>人员费用（每千瓦核电装机）</t>
        </is>
      </c>
      <c r="B16" s="20" t="inlineStr">
        <is>
          <t>元/kW</t>
        </is>
      </c>
      <c r="E16" s="45">
        <f>E27*10000/'Revenue Model'!E41</f>
        <v>255.17684210526315</v>
      </c>
      <c r="F16" s="45">
        <f>F27*10000/'Revenue Model'!F41</f>
        <v>249.1084</v>
      </c>
      <c r="G16" s="46">
        <f>F16*(1+G18)</f>
        <v>254.090568</v>
      </c>
      <c r="H16" s="46">
        <f>G16*(1+H18)</f>
        <v>259.17237936</v>
      </c>
      <c r="I16" s="46">
        <f>H16*(1+I18)</f>
        <v>264.3558269472</v>
      </c>
      <c r="J16" s="46">
        <f>I16*(1+J18)</f>
        <v>269.642943486144</v>
      </c>
      <c r="K16" s="46">
        <f>J16*(1+K18)</f>
        <v>275.0358023558669</v>
      </c>
    </row>
    <row r="17">
      <c r="A17" s="22" t="inlineStr">
        <is>
          <t>运维及其他（每千瓦核电+新能源平均装机）</t>
        </is>
      </c>
      <c r="B17" s="20" t="inlineStr">
        <is>
          <t>元/kW</t>
        </is>
      </c>
      <c r="E17" s="45">
        <f>E28*10000/('Revenue Model'!E41+('Revenue Model'!E66+'Revenue Model'!D66)/2)</f>
        <v>202.36664606257997</v>
      </c>
      <c r="F17" s="45">
        <f>F28*10000/('Revenue Model'!F41+('Revenue Model'!F66+'Revenue Model'!E66)/2)</f>
        <v>162.9763010742053</v>
      </c>
      <c r="G17" s="46">
        <f>F17*(1+G19)</f>
        <v>156.4572490312371</v>
      </c>
      <c r="H17" s="46">
        <f>G17*(1+H19)</f>
        <v>156.4572490312371</v>
      </c>
      <c r="I17" s="46">
        <f>H17*(1+I19)</f>
        <v>158.02182152154947</v>
      </c>
      <c r="J17" s="46">
        <f>I17*(1+J19)</f>
        <v>159.60203973676497</v>
      </c>
      <c r="K17" s="46">
        <f>J17*(1+K19)</f>
        <v>161.19806013413262</v>
      </c>
    </row>
    <row r="18">
      <c r="A18" s="22" t="inlineStr">
        <is>
          <t>人员成本通胀</t>
        </is>
      </c>
      <c r="B18" s="20" t="inlineStr">
        <is>
          <t>%</t>
        </is>
      </c>
      <c r="G18" s="32" t="n">
        <v>0.02</v>
      </c>
      <c r="H18" s="32" t="n">
        <v>0.02</v>
      </c>
      <c r="I18" s="32" t="n">
        <v>0.02</v>
      </c>
      <c r="J18" s="32" t="n">
        <v>0.02</v>
      </c>
      <c r="K18" s="32" t="n">
        <v>0.02</v>
      </c>
    </row>
    <row r="19">
      <c r="A19" s="22" t="inlineStr">
        <is>
          <t>运维单位成本变动</t>
        </is>
      </c>
      <c r="B19" s="20" t="inlineStr">
        <is>
          <t>%</t>
        </is>
      </c>
      <c r="G19" s="32" t="n">
        <v>-0.04</v>
      </c>
      <c r="H19" s="32" t="n">
        <v>0</v>
      </c>
      <c r="I19" s="32" t="n">
        <v>0.01</v>
      </c>
      <c r="J19" s="32" t="n">
        <v>0.01</v>
      </c>
      <c r="K19" s="32" t="n">
        <v>0.01</v>
      </c>
      <c r="L19" s="20" t="inlineStr">
        <is>
          <t>2025A 运维及其他 -4.62%（装机增长下仍下降，规模效应）</t>
        </is>
      </c>
    </row>
    <row r="20">
      <c r="A20" s="22" t="inlineStr">
        <is>
          <t>核电平均装机（存量+新机组加权）</t>
        </is>
      </c>
      <c r="B20" s="20" t="inlineStr">
        <is>
          <t>万千瓦</t>
        </is>
      </c>
      <c r="G20" s="23">
        <f>'Revenue Model'!G40+'Revenue Model'!G29</f>
        <v>2676.8</v>
      </c>
      <c r="H20" s="23">
        <f>'Revenue Model'!H40+'Revenue Model'!H29</f>
        <v>2961.84</v>
      </c>
      <c r="I20" s="23">
        <f>'Revenue Model'!I40+'Revenue Model'!I29</f>
        <v>3366.9000000000005</v>
      </c>
      <c r="J20" s="23">
        <f>'Revenue Model'!J40+'Revenue Model'!J29</f>
        <v>3669.4000000000005</v>
      </c>
      <c r="K20" s="23">
        <f>'Revenue Model'!K40+'Revenue Model'!K29</f>
        <v>3940.9</v>
      </c>
    </row>
    <row r="21">
      <c r="A21" s="22" t="inlineStr">
        <is>
          <t>新能源平均装机</t>
        </is>
      </c>
      <c r="B21" s="20" t="inlineStr">
        <is>
          <t>万千瓦</t>
        </is>
      </c>
      <c r="G21" s="23">
        <f>('Revenue Model'!F66+'Revenue Model'!G66)/2</f>
        <v>3539.1000000000004</v>
      </c>
      <c r="H21" s="23">
        <f>('Revenue Model'!G66+'Revenue Model'!H66)/2</f>
        <v>3839.1000000000004</v>
      </c>
      <c r="I21" s="23">
        <f>('Revenue Model'!H66+'Revenue Model'!I66)/2</f>
        <v>4064.1000000000004</v>
      </c>
      <c r="J21" s="23">
        <f>('Revenue Model'!I66+'Revenue Model'!J66)/2</f>
        <v>4264.1</v>
      </c>
      <c r="K21" s="23">
        <f>('Revenue Model'!J66+'Revenue Model'!K66)/2</f>
        <v>4464.1</v>
      </c>
    </row>
    <row r="23">
      <c r="A23" s="12" t="inlineStr">
        <is>
          <t>营业成本 Cost of revenue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</row>
    <row r="24">
      <c r="A24" s="22" t="inlineStr">
        <is>
          <t xml:space="preserve">  核燃料成本</t>
        </is>
      </c>
      <c r="B24" s="20" t="inlineStr">
        <is>
          <t>亿元</t>
        </is>
      </c>
      <c r="C24" s="24" t="n">
        <v>85.8463</v>
      </c>
      <c r="D24" s="24" t="n">
        <v>92.1016</v>
      </c>
      <c r="E24" s="24" t="n">
        <v>75.56059999999999</v>
      </c>
      <c r="F24" s="24" t="n">
        <v>87.0478</v>
      </c>
      <c r="G24" s="23">
        <f>'Revenue Model'!G57*G14</f>
        <v>92.31869347553821</v>
      </c>
      <c r="H24" s="23">
        <f>'Revenue Model'!H57*H14</f>
        <v>110.40134205817434</v>
      </c>
      <c r="I24" s="23">
        <f>'Revenue Model'!I57*I14</f>
        <v>130.5197747746988</v>
      </c>
      <c r="J24" s="23">
        <f>'Revenue Model'!J57*J14</f>
        <v>147.93621195182837</v>
      </c>
      <c r="K24" s="23">
        <f>'Revenue Model'!K57*K14</f>
        <v>165.23733863525342</v>
      </c>
      <c r="L24" s="20" t="inlineStr">
        <is>
          <t>2022–23A 为年报“燃料及其他材料”口径（含非核材料，乏燃料基金含于其他成本），与 2024 年后不完全可比</t>
        </is>
      </c>
    </row>
    <row r="25">
      <c r="A25" s="22" t="inlineStr">
        <is>
          <t xml:space="preserve">  乏燃料处置基金</t>
        </is>
      </c>
      <c r="B25" s="20" t="inlineStr">
        <is>
          <t>亿元</t>
        </is>
      </c>
      <c r="E25" s="24" t="n">
        <v>35.2116</v>
      </c>
      <c r="F25" s="24" t="n">
        <v>37.3339</v>
      </c>
      <c r="G25" s="23">
        <f>'Revenue Model'!G57*G15</f>
        <v>38.08818719999999</v>
      </c>
      <c r="H25" s="23">
        <f>'Revenue Model'!H57*H15</f>
        <v>43.79672807999999</v>
      </c>
      <c r="I25" s="23">
        <f>'Revenue Model'!I57*I15</f>
        <v>49.78635029999999</v>
      </c>
      <c r="J25" s="23">
        <f>'Revenue Model'!J57*J15</f>
        <v>54.259417799999994</v>
      </c>
      <c r="K25" s="23">
        <f>'Revenue Model'!K57*K15</f>
        <v>58.274088299999995</v>
      </c>
    </row>
    <row r="26">
      <c r="A26" s="22" t="inlineStr">
        <is>
          <t xml:space="preserve">  固定资产折旧（计入成本）</t>
        </is>
      </c>
      <c r="B26" s="20" t="inlineStr">
        <is>
          <t>亿元</t>
        </is>
      </c>
      <c r="C26" s="24" t="n">
        <v>148.7413</v>
      </c>
      <c r="D26" s="24" t="n">
        <v>160.5377</v>
      </c>
      <c r="E26" s="24" t="n">
        <v>173.0367</v>
      </c>
      <c r="F26" s="24" t="n">
        <v>202.6774</v>
      </c>
      <c r="G26" s="41">
        <f>'Balance Sheet'!G76</f>
        <v>220.58517694661546</v>
      </c>
      <c r="H26" s="41">
        <f>'Balance Sheet'!H76</f>
        <v>252.47744525973124</v>
      </c>
      <c r="I26" s="41">
        <f>'Balance Sheet'!I76</f>
        <v>286.34411695940713</v>
      </c>
      <c r="J26" s="41">
        <f>'Balance Sheet'!J76</f>
        <v>306.71428544880206</v>
      </c>
      <c r="K26" s="41">
        <f>'Balance Sheet'!K76</f>
        <v>318.40201579732275</v>
      </c>
      <c r="L26" s="20" t="inlineStr">
        <is>
          <t>预测=Balance Sheet 固定资产折旧</t>
        </is>
      </c>
    </row>
    <row r="27">
      <c r="A27" s="22" t="inlineStr">
        <is>
          <t xml:space="preserve">  人员费用</t>
        </is>
      </c>
      <c r="B27" s="20" t="inlineStr">
        <is>
          <t>亿元</t>
        </is>
      </c>
      <c r="C27" s="24" t="n">
        <v>52.8459</v>
      </c>
      <c r="D27" s="24" t="n">
        <v>56.9412</v>
      </c>
      <c r="E27" s="24" t="n">
        <v>60.6045</v>
      </c>
      <c r="F27" s="24" t="n">
        <v>62.2771</v>
      </c>
      <c r="G27" s="23">
        <f>G20*G16/10000</f>
        <v>68.01496324224</v>
      </c>
      <c r="H27" s="23">
        <f>H20*H16/10000</f>
        <v>76.76271200836224</v>
      </c>
      <c r="I27" s="23">
        <f>I20*I16/10000</f>
        <v>89.00596337485278</v>
      </c>
      <c r="J27" s="23">
        <f>J20*J16/10000</f>
        <v>98.9427816828057</v>
      </c>
      <c r="K27" s="23">
        <f>K20*K16/10000</f>
        <v>108.38885935042359</v>
      </c>
    </row>
    <row r="28">
      <c r="A28" s="22" t="inlineStr">
        <is>
          <t xml:space="preserve">  运维及其他</t>
        </is>
      </c>
      <c r="B28" s="20" t="inlineStr">
        <is>
          <t>亿元</t>
        </is>
      </c>
      <c r="C28" s="24" t="n">
        <v>100.1361</v>
      </c>
      <c r="D28" s="24" t="n">
        <v>105.5163</v>
      </c>
      <c r="E28" s="24" t="n">
        <v>96.7435</v>
      </c>
      <c r="F28" s="24" t="n">
        <v>92.2749</v>
      </c>
      <c r="G28" s="23">
        <f>(G20+G21)*G17/10000</f>
        <v>97.25226142532667</v>
      </c>
      <c r="H28" s="23">
        <f>(H20+H21)*H17/10000</f>
        <v>106.40563632265017</v>
      </c>
      <c r="I28" s="23">
        <f>(I20+I21)*I17/10000</f>
        <v>117.42601557266342</v>
      </c>
      <c r="J28" s="23">
        <f>(J20+J21)*J17/10000</f>
        <v>126.62027822516251</v>
      </c>
      <c r="K28" s="23">
        <f>(K20+K21)*K17/10000</f>
        <v>135.48696954273848</v>
      </c>
      <c r="L28" s="20" t="inlineStr">
        <is>
          <t>2022–23A=电厂运行维护费+其他成本（年报成本分析表）</t>
        </is>
      </c>
    </row>
    <row r="29">
      <c r="A29" s="21" t="inlineStr">
        <is>
          <t>营业成本合计</t>
        </is>
      </c>
      <c r="B29" s="20" t="inlineStr">
        <is>
          <t>亿元</t>
        </is>
      </c>
      <c r="C29" s="30" t="n">
        <v>387.5696488680001</v>
      </c>
      <c r="D29" s="30" t="n">
        <v>415.096730107</v>
      </c>
      <c r="E29" s="30" t="n">
        <v>441.1569571599</v>
      </c>
      <c r="F29" s="30" t="n">
        <v>481.6110676431</v>
      </c>
      <c r="G29" s="29">
        <f>SUM(G24:G28)</f>
        <v>516.2592822897203</v>
      </c>
      <c r="H29" s="29">
        <f>SUM(H24:H28)</f>
        <v>589.843863728918</v>
      </c>
      <c r="I29" s="29">
        <f>SUM(I24:I28)</f>
        <v>673.0822209816221</v>
      </c>
      <c r="J29" s="29">
        <f>SUM(J24:J28)</f>
        <v>734.4729751085986</v>
      </c>
      <c r="K29" s="29">
        <f>SUM(K24:K28)</f>
        <v>785.7892716257383</v>
      </c>
      <c r="M29" s="15" t="n">
        <v>243.9292565125</v>
      </c>
      <c r="N29" s="39">
        <f>IFERROR(M29/G29,"")</f>
        <v>0.4724936962501121</v>
      </c>
    </row>
    <row r="30">
      <c r="A30" s="21" t="inlineStr">
        <is>
          <t>毛利 Gross profit</t>
        </is>
      </c>
      <c r="B30" s="20" t="inlineStr">
        <is>
          <t>亿元</t>
        </is>
      </c>
      <c r="C30" s="28">
        <f>C7-C29</f>
        <v>325.28635956839986</v>
      </c>
      <c r="D30" s="28">
        <f>D7-D29</f>
        <v>334.47507254260006</v>
      </c>
      <c r="E30" s="28">
        <f>E7-E29</f>
        <v>331.5636281065</v>
      </c>
      <c r="F30" s="28">
        <f>F7-F29</f>
        <v>339.1438848064</v>
      </c>
      <c r="G30" s="29">
        <f>G7-G29</f>
        <v>291.1678895209716</v>
      </c>
      <c r="H30" s="29">
        <f>H7-H29</f>
        <v>318.87092176050544</v>
      </c>
      <c r="I30" s="29">
        <f>I7-I29</f>
        <v>341.59167642981004</v>
      </c>
      <c r="J30" s="29">
        <f>J7-J29</f>
        <v>361.6505238805844</v>
      </c>
      <c r="K30" s="29">
        <f>K7-K29</f>
        <v>386.48731205887736</v>
      </c>
    </row>
    <row r="31">
      <c r="A31" s="22" t="inlineStr">
        <is>
          <t xml:space="preserve">  毛利率</t>
        </is>
      </c>
      <c r="B31" s="20" t="inlineStr">
        <is>
          <t>%</t>
        </is>
      </c>
      <c r="C31" s="31">
        <f>C30/C7</f>
        <v>0.45631425662230557</v>
      </c>
      <c r="D31" s="31">
        <f>D30/D7</f>
        <v>0.4462215245561419</v>
      </c>
      <c r="E31" s="31">
        <f>E30/E7</f>
        <v>0.4290860557211524</v>
      </c>
      <c r="F31" s="31">
        <f>F30/F7</f>
        <v>0.4132096721369063</v>
      </c>
      <c r="G31" s="36">
        <f>G30/G7</f>
        <v>0.3606119532341405</v>
      </c>
      <c r="H31" s="36">
        <f>H30/H7</f>
        <v>0.35090319520746566</v>
      </c>
      <c r="I31" s="36">
        <f>I30/I7</f>
        <v>0.3366516841531607</v>
      </c>
      <c r="J31" s="36">
        <f>J30/J7</f>
        <v>0.3299359280355628</v>
      </c>
      <c r="K31" s="36">
        <f>K30/K7</f>
        <v>0.3296895267191111</v>
      </c>
    </row>
    <row r="33">
      <c r="A33" s="12" t="inlineStr">
        <is>
          <t>期间费用及其他 Opex &amp; other items</t>
        </is>
      </c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</row>
    <row r="34">
      <c r="A34" s="22" t="inlineStr">
        <is>
          <t>税金及附加/收入</t>
        </is>
      </c>
      <c r="B34" s="20" t="inlineStr">
        <is>
          <t>%</t>
        </is>
      </c>
      <c r="C34" s="31">
        <f>C35/C7</f>
        <v>0.012235275520691868</v>
      </c>
      <c r="D34" s="31">
        <f>D35/D7</f>
        <v>0.013763406530011504</v>
      </c>
      <c r="E34" s="31">
        <f>E35/E7</f>
        <v>0.013934420713779573</v>
      </c>
      <c r="F34" s="31">
        <f>F35/F7</f>
        <v>0.015066874038826925</v>
      </c>
      <c r="G34" s="32" t="n">
        <v>0.0151</v>
      </c>
      <c r="H34" s="32" t="n">
        <v>0.0151</v>
      </c>
      <c r="I34" s="32" t="n">
        <v>0.0151</v>
      </c>
      <c r="J34" s="32" t="n">
        <v>0.0151</v>
      </c>
      <c r="K34" s="32" t="n">
        <v>0.0151</v>
      </c>
    </row>
    <row r="35">
      <c r="A35" s="22" t="inlineStr">
        <is>
          <t>税金及附加</t>
        </is>
      </c>
      <c r="B35" s="20" t="inlineStr">
        <is>
          <t>亿元</t>
        </is>
      </c>
      <c r="C35" s="24" t="n">
        <v>8.721989669800001</v>
      </c>
      <c r="D35" s="24" t="n">
        <v>10.3166614433</v>
      </c>
      <c r="E35" s="24" t="n">
        <v>10.7674137293</v>
      </c>
      <c r="F35" s="24" t="n">
        <v>12.3662114853</v>
      </c>
      <c r="G35" s="23">
        <f>G7*G34</f>
        <v>12.192150294341449</v>
      </c>
      <c r="H35" s="23">
        <f>H7*H34</f>
        <v>13.721593260890295</v>
      </c>
      <c r="I35" s="23">
        <f>I7*I34</f>
        <v>15.321575850912625</v>
      </c>
      <c r="J35" s="23">
        <f>J7*J34</f>
        <v>16.551464834736663</v>
      </c>
      <c r="K35" s="23">
        <f>K7*K34</f>
        <v>17.701376413637696</v>
      </c>
      <c r="M35" s="15" t="n">
        <v>6.3786891291</v>
      </c>
      <c r="N35" s="39">
        <f>IFERROR(M35/G35,"")</f>
        <v>0.5231799949234911</v>
      </c>
    </row>
    <row r="36">
      <c r="A36" s="22" t="inlineStr">
        <is>
          <t>销售费用/收入</t>
        </is>
      </c>
      <c r="B36" s="20" t="inlineStr">
        <is>
          <t>%</t>
        </is>
      </c>
      <c r="C36" s="47">
        <f>C37/C7</f>
        <v>0.001090312617417384</v>
      </c>
      <c r="D36" s="47">
        <f>D37/D7</f>
        <v>0.001535668038913809</v>
      </c>
      <c r="E36" s="47">
        <f>E37/E7</f>
        <v>0.000808723192853153</v>
      </c>
      <c r="F36" s="47">
        <f>F37/F7</f>
        <v>0.0012144611649618164</v>
      </c>
      <c r="G36" s="48" t="n">
        <v>0.0012</v>
      </c>
      <c r="H36" s="48" t="n">
        <v>0.0012</v>
      </c>
      <c r="I36" s="48" t="n">
        <v>0.0012</v>
      </c>
      <c r="J36" s="48" t="n">
        <v>0.0012</v>
      </c>
      <c r="K36" s="48" t="n">
        <v>0.0012</v>
      </c>
    </row>
    <row r="37">
      <c r="A37" s="22" t="inlineStr">
        <is>
          <t>销售费用</t>
        </is>
      </c>
      <c r="B37" s="20" t="inlineStr">
        <is>
          <t>亿元</t>
        </is>
      </c>
      <c r="C37" s="24" t="n">
        <v>0.7772359004</v>
      </c>
      <c r="D37" s="24" t="n">
        <v>1.1510934602</v>
      </c>
      <c r="E37" s="24" t="n">
        <v>0.6249170589</v>
      </c>
      <c r="F37" s="24" t="n">
        <v>0.9967750156999999</v>
      </c>
      <c r="G37" s="23">
        <f>G7*G36</f>
        <v>0.9689126061728301</v>
      </c>
      <c r="H37" s="23">
        <f>H7*H36</f>
        <v>1.090457742587308</v>
      </c>
      <c r="I37" s="23">
        <f>I7*I36</f>
        <v>1.2176086768937184</v>
      </c>
      <c r="J37" s="23">
        <f>J7*J36</f>
        <v>1.3153481987870195</v>
      </c>
      <c r="K37" s="23">
        <f>K7*K36</f>
        <v>1.4067319004215386</v>
      </c>
    </row>
    <row r="38">
      <c r="A38" s="22" t="inlineStr">
        <is>
          <t>管理费用增速</t>
        </is>
      </c>
      <c r="B38" s="20" t="inlineStr">
        <is>
          <t>%</t>
        </is>
      </c>
      <c r="G38" s="32" t="n">
        <v>-0.12</v>
      </c>
      <c r="H38" s="32" t="n">
        <v>0.03</v>
      </c>
      <c r="I38" s="32" t="n">
        <v>0.03</v>
      </c>
      <c r="J38" s="32" t="n">
        <v>0.03</v>
      </c>
      <c r="K38" s="32" t="n">
        <v>0.03</v>
      </c>
      <c r="L38" s="20" t="inlineStr">
        <is>
          <t>2026H1 管理费用 -14.68%（薪酬结构调整、成本管控）</t>
        </is>
      </c>
    </row>
    <row r="39">
      <c r="A39" s="22" t="inlineStr">
        <is>
          <t>管理费用</t>
        </is>
      </c>
      <c r="B39" s="20" t="inlineStr">
        <is>
          <t>亿元</t>
        </is>
      </c>
      <c r="C39" s="24" t="n">
        <v>46.1854159969</v>
      </c>
      <c r="D39" s="24" t="n">
        <v>38.2823563817</v>
      </c>
      <c r="E39" s="24" t="n">
        <v>40.2704117366</v>
      </c>
      <c r="F39" s="24" t="n">
        <v>41.1863406734</v>
      </c>
      <c r="G39" s="23">
        <f>F39*(1+G38)</f>
        <v>36.243979792592</v>
      </c>
      <c r="H39" s="23">
        <f>G39*(1+H38)</f>
        <v>37.33129918636976</v>
      </c>
      <c r="I39" s="23">
        <f>H39*(1+I38)</f>
        <v>38.45123816196086</v>
      </c>
      <c r="J39" s="23">
        <f>I39*(1+J38)</f>
        <v>39.60477530681968</v>
      </c>
      <c r="K39" s="23">
        <f>J39*(1+K38)</f>
        <v>40.79291856602428</v>
      </c>
      <c r="M39" s="15" t="n">
        <v>15.3472341725</v>
      </c>
      <c r="N39" s="39">
        <f>IFERROR(M39/G39,"")</f>
        <v>0.423442300219935</v>
      </c>
    </row>
    <row r="40">
      <c r="A40" s="22" t="inlineStr">
        <is>
          <t>研发费用/收入</t>
        </is>
      </c>
      <c r="B40" s="20" t="inlineStr">
        <is>
          <t>%</t>
        </is>
      </c>
      <c r="C40" s="31">
        <f>C41/C7</f>
        <v>0.01961006407572028</v>
      </c>
      <c r="D40" s="31">
        <f>D41/D7</f>
        <v>0.018461060165798092</v>
      </c>
      <c r="E40" s="31">
        <f>E41/E7</f>
        <v>0.01778880811213417</v>
      </c>
      <c r="F40" s="31">
        <f>F41/F7</f>
        <v>0.01754004357529085</v>
      </c>
      <c r="G40" s="32" t="n">
        <v>0.016</v>
      </c>
      <c r="H40" s="32" t="n">
        <v>0.0175</v>
      </c>
      <c r="I40" s="32" t="n">
        <v>0.0175</v>
      </c>
      <c r="J40" s="32" t="n">
        <v>0.0175</v>
      </c>
      <c r="K40" s="32" t="n">
        <v>0.0175</v>
      </c>
      <c r="L40" s="20" t="inlineStr">
        <is>
          <t>2026H1 研发 3.62 亿（研发支出下半年集中）</t>
        </is>
      </c>
    </row>
    <row r="41">
      <c r="A41" s="22" t="inlineStr">
        <is>
          <t>研发费用</t>
        </is>
      </c>
      <c r="B41" s="20" t="inlineStr">
        <is>
          <t>亿元</t>
        </is>
      </c>
      <c r="C41" s="24" t="n">
        <v>13.9791520022</v>
      </c>
      <c r="D41" s="24" t="n">
        <v>13.8378901473</v>
      </c>
      <c r="E41" s="24" t="n">
        <v>13.7457782156</v>
      </c>
      <c r="F41" s="24" t="n">
        <v>14.3960776306</v>
      </c>
      <c r="G41" s="23">
        <f>G7*G40</f>
        <v>12.91883474897107</v>
      </c>
      <c r="H41" s="23">
        <f>H7*H40</f>
        <v>15.902508746064912</v>
      </c>
      <c r="I41" s="23">
        <f>I7*I40</f>
        <v>17.756793204700063</v>
      </c>
      <c r="J41" s="23">
        <f>J7*J40</f>
        <v>19.182161232310705</v>
      </c>
      <c r="K41" s="23">
        <f>K7*K40</f>
        <v>20.514840214480774</v>
      </c>
      <c r="M41" s="15" t="n">
        <v>3.6202679848</v>
      </c>
      <c r="N41" s="39">
        <f>IFERROR(M41/G41,"")</f>
        <v>0.2802317743934559</v>
      </c>
    </row>
    <row r="42">
      <c r="A42" s="22" t="inlineStr">
        <is>
          <t>有息负债综合利率（期初余额）</t>
        </is>
      </c>
      <c r="B42" s="20" t="inlineStr">
        <is>
          <t>%</t>
        </is>
      </c>
      <c r="G42" s="48" t="n">
        <v>0.023</v>
      </c>
      <c r="H42" s="48" t="n">
        <v>0.022</v>
      </c>
      <c r="I42" s="48" t="n">
        <v>0.0215</v>
      </c>
      <c r="J42" s="48" t="n">
        <v>0.0215</v>
      </c>
      <c r="K42" s="48" t="n">
        <v>0.0215</v>
      </c>
      <c r="L42" s="20" t="inlineStr">
        <is>
          <t>2025A 校准：(65.40 利息费用+约 31 资本化)/期初有息负债 3,839 ≈ 2.45%；新增借款利率约 1.6–2.3%</t>
        </is>
      </c>
    </row>
    <row r="43">
      <c r="A43" s="22" t="inlineStr">
        <is>
          <t>利息资本化率（期初在建工程）</t>
        </is>
      </c>
      <c r="B43" s="20" t="inlineStr">
        <is>
          <t>%</t>
        </is>
      </c>
      <c r="G43" s="48" t="n">
        <v>0.013</v>
      </c>
      <c r="H43" s="48" t="n">
        <v>0.013</v>
      </c>
      <c r="I43" s="48" t="n">
        <v>0.013</v>
      </c>
      <c r="J43" s="48" t="n">
        <v>0.013</v>
      </c>
      <c r="K43" s="48" t="n">
        <v>0.013</v>
      </c>
      <c r="L43" s="20" t="inlineStr">
        <is>
          <t>2025 年报：重大在建工程本期利息资本化 31.87 亿</t>
        </is>
      </c>
    </row>
    <row r="44">
      <c r="A44" s="22" t="inlineStr">
        <is>
          <t xml:space="preserve">    其中：利息费用</t>
        </is>
      </c>
      <c r="B44" s="20" t="inlineStr">
        <is>
          <t>亿元</t>
        </is>
      </c>
      <c r="C44" s="24" t="n">
        <v>76.40989321399999</v>
      </c>
      <c r="D44" s="24" t="n">
        <v>69.3372567582</v>
      </c>
      <c r="E44" s="24" t="n">
        <v>67.099446675</v>
      </c>
      <c r="F44" s="24" t="n">
        <v>65.39822152079999</v>
      </c>
      <c r="G44" s="23">
        <f>'Balance Sheet'!F77*G42-'Balance Sheet'!F20*G43</f>
        <v>71.16093414078581</v>
      </c>
      <c r="H44" s="23">
        <f>'Balance Sheet'!G77*H42-'Balance Sheet'!G20*H43</f>
        <v>72.3167079161145</v>
      </c>
      <c r="I44" s="23">
        <f>'Balance Sheet'!H77*I42-'Balance Sheet'!H20*I43</f>
        <v>83.87733899010072</v>
      </c>
      <c r="J44" s="23">
        <f>'Balance Sheet'!I77*J42-'Balance Sheet'!I20*J43</f>
        <v>89.67651481387999</v>
      </c>
      <c r="K44" s="23">
        <f>'Balance Sheet'!J77*K42-'Balance Sheet'!J20*K43</f>
        <v>97.0278851884151</v>
      </c>
      <c r="M44" s="15" t="n">
        <v>33.7865715915</v>
      </c>
      <c r="N44" s="39">
        <f>IFERROR(M44/G44,"")</f>
        <v>0.4747910071649167</v>
      </c>
    </row>
    <row r="45">
      <c r="A45" s="22" t="inlineStr">
        <is>
          <t xml:space="preserve">    存款利率（期初货币资金）</t>
        </is>
      </c>
      <c r="B45" s="20" t="inlineStr">
        <is>
          <t>%</t>
        </is>
      </c>
      <c r="G45" s="48" t="n">
        <v>0.008999999999999999</v>
      </c>
      <c r="H45" s="48" t="n">
        <v>0.008999999999999999</v>
      </c>
      <c r="I45" s="48" t="n">
        <v>0.008999999999999999</v>
      </c>
      <c r="J45" s="48" t="n">
        <v>0.008999999999999999</v>
      </c>
      <c r="K45" s="48" t="n">
        <v>0.008999999999999999</v>
      </c>
      <c r="L45" s="20" t="inlineStr">
        <is>
          <t>2025A 1.45/197.38≈0.7%–0.9%</t>
        </is>
      </c>
    </row>
    <row r="46">
      <c r="A46" s="22" t="inlineStr">
        <is>
          <t xml:space="preserve">    减：利息收入</t>
        </is>
      </c>
      <c r="B46" s="20" t="inlineStr">
        <is>
          <t>亿元</t>
        </is>
      </c>
      <c r="C46" s="24" t="n">
        <v>2.0783818037</v>
      </c>
      <c r="D46" s="24" t="n">
        <v>1.8277831418</v>
      </c>
      <c r="E46" s="24" t="n">
        <v>1.5554525714</v>
      </c>
      <c r="F46" s="24" t="n">
        <v>1.4491979735</v>
      </c>
      <c r="G46" s="23">
        <f>'Balance Sheet'!F7*G45</f>
        <v>1.4023478471921997</v>
      </c>
      <c r="H46" s="23">
        <f>'Balance Sheet'!G7*H45</f>
        <v>1.30803201833332</v>
      </c>
      <c r="I46" s="23">
        <f>'Balance Sheet'!H7*I45</f>
        <v>1.4721179524928663</v>
      </c>
      <c r="J46" s="23">
        <f>'Balance Sheet'!I7*J45</f>
        <v>1.643771713806519</v>
      </c>
      <c r="K46" s="23">
        <f>'Balance Sheet'!J7*K45</f>
        <v>1.7757200683624759</v>
      </c>
    </row>
    <row r="47">
      <c r="A47" s="22" t="inlineStr">
        <is>
          <t xml:space="preserve">    其他财务费用（汇兑、手续费等）</t>
        </is>
      </c>
      <c r="B47" s="20" t="inlineStr">
        <is>
          <t>亿元</t>
        </is>
      </c>
      <c r="C47" s="25">
        <f>C48-C44+C46</f>
        <v>7.11359876350001</v>
      </c>
      <c r="D47" s="25">
        <f>D48-D44+D46</f>
        <v>5.507963890400008</v>
      </c>
      <c r="E47" s="25">
        <f>E48-E44+E46</f>
        <v>2.8919786212</v>
      </c>
      <c r="F47" s="25">
        <f>F48-F44+F46</f>
        <v>4.395812597500006</v>
      </c>
      <c r="G47" s="15" t="n">
        <v>4</v>
      </c>
      <c r="H47" s="15" t="n">
        <v>4</v>
      </c>
      <c r="I47" s="15" t="n">
        <v>4</v>
      </c>
      <c r="J47" s="15" t="n">
        <v>4</v>
      </c>
      <c r="K47" s="15" t="n">
        <v>4</v>
      </c>
    </row>
    <row r="48">
      <c r="A48" s="22" t="inlineStr">
        <is>
          <t>财务费用</t>
        </is>
      </c>
      <c r="B48" s="20" t="inlineStr">
        <is>
          <t>亿元</t>
        </is>
      </c>
      <c r="C48" s="24" t="n">
        <v>81.4451101738</v>
      </c>
      <c r="D48" s="24" t="n">
        <v>73.01743750680001</v>
      </c>
      <c r="E48" s="24" t="n">
        <v>68.4359727248</v>
      </c>
      <c r="F48" s="24" t="n">
        <v>68.3448361448</v>
      </c>
      <c r="G48" s="23">
        <f>G44-G46+G47</f>
        <v>73.75858629359361</v>
      </c>
      <c r="H48" s="23">
        <f>H44-H46+H47</f>
        <v>75.00867589778117</v>
      </c>
      <c r="I48" s="23">
        <f>I44-I46+I47</f>
        <v>86.40522103760786</v>
      </c>
      <c r="J48" s="23">
        <f>J44-J46+J47</f>
        <v>92.03274310007347</v>
      </c>
      <c r="K48" s="23">
        <f>K44-K46+K47</f>
        <v>99.25216512005262</v>
      </c>
      <c r="M48" s="15" t="n">
        <v>35.0729985045</v>
      </c>
      <c r="N48" s="39">
        <f>IFERROR(M48/G48,"")</f>
        <v>0.47551072040471454</v>
      </c>
    </row>
    <row r="49">
      <c r="A49" s="22" t="inlineStr">
        <is>
          <t>加：其他收益（增值税退税等）</t>
        </is>
      </c>
      <c r="B49" s="20" t="inlineStr">
        <is>
          <t>亿元</t>
        </is>
      </c>
      <c r="C49" s="24" t="n">
        <v>21.113832011</v>
      </c>
      <c r="D49" s="24" t="n">
        <v>27.1070817122</v>
      </c>
      <c r="E49" s="24" t="n">
        <v>27.5262279668</v>
      </c>
      <c r="F49" s="24" t="n">
        <v>31.503852541</v>
      </c>
      <c r="G49" s="23">
        <f>G9*'Scenarios'!G60</f>
        <v>29.477614749069026</v>
      </c>
      <c r="H49" s="23">
        <f>H9*'Scenarios'!H60</f>
        <v>32.983324668892045</v>
      </c>
      <c r="I49" s="23">
        <f>I9*'Scenarios'!I60</f>
        <v>36.563405492588494</v>
      </c>
      <c r="J49" s="23">
        <f>J9*'Scenarios'!J60</f>
        <v>38.942807417422564</v>
      </c>
      <c r="K49" s="23">
        <f>K9*'Scenarios'!K60</f>
        <v>40.85154159640487</v>
      </c>
      <c r="M49" s="15" t="n">
        <v>12.3153234137</v>
      </c>
      <c r="N49" s="39">
        <f>IFERROR(M49/G49,"")</f>
        <v>0.41778561523838853</v>
      </c>
    </row>
    <row r="50">
      <c r="A50" s="22" t="inlineStr">
        <is>
          <t>投资收益</t>
        </is>
      </c>
      <c r="B50" s="20" t="inlineStr">
        <is>
          <t>亿元</t>
        </is>
      </c>
      <c r="C50" s="24" t="n">
        <v>2.7523639866</v>
      </c>
      <c r="D50" s="24" t="n">
        <v>3.8207070524</v>
      </c>
      <c r="E50" s="24" t="n">
        <v>4.107261432</v>
      </c>
      <c r="F50" s="24" t="n">
        <v>3.0864304523</v>
      </c>
      <c r="G50" s="23">
        <f>G52+G53</f>
        <v>3.209429957805</v>
      </c>
      <c r="H50" s="23">
        <f>H52+H53</f>
        <v>3.35490145569525</v>
      </c>
      <c r="I50" s="23">
        <f>I52+I53</f>
        <v>3.5076465284800125</v>
      </c>
      <c r="J50" s="23">
        <f>J52+J53</f>
        <v>3.6680288549040134</v>
      </c>
      <c r="K50" s="23">
        <f>K52+K53</f>
        <v>3.836430297649214</v>
      </c>
      <c r="M50" s="15" t="n">
        <v>0.8490757418000001</v>
      </c>
      <c r="N50" s="39">
        <f>IFERROR(M50/G50,"")</f>
        <v>0.2645565576949689</v>
      </c>
    </row>
    <row r="51">
      <c r="A51" s="22" t="inlineStr">
        <is>
          <t xml:space="preserve">    联营合营收益增速</t>
        </is>
      </c>
      <c r="B51" s="20" t="inlineStr">
        <is>
          <t>%</t>
        </is>
      </c>
      <c r="G51" s="32" t="n">
        <v>0.05</v>
      </c>
      <c r="H51" s="32" t="n">
        <v>0.05</v>
      </c>
      <c r="I51" s="32" t="n">
        <v>0.05</v>
      </c>
      <c r="J51" s="32" t="n">
        <v>0.05</v>
      </c>
      <c r="K51" s="32" t="n">
        <v>0.05</v>
      </c>
    </row>
    <row r="52">
      <c r="A52" s="22" t="inlineStr">
        <is>
          <t xml:space="preserve">    其中：对联营合营企业投资收益</t>
        </is>
      </c>
      <c r="B52" s="20" t="inlineStr">
        <is>
          <t>亿元</t>
        </is>
      </c>
      <c r="C52" s="24" t="n">
        <v>2.690465153</v>
      </c>
      <c r="D52" s="24" t="n">
        <v>3.7636823681</v>
      </c>
      <c r="E52" s="24" t="n">
        <v>3.3882882216</v>
      </c>
      <c r="F52" s="24" t="n">
        <v>2.7708856741</v>
      </c>
      <c r="G52" s="23">
        <f>F52*(1+G51)</f>
        <v>2.909429957805</v>
      </c>
      <c r="H52" s="23">
        <f>G52*(1+H51)</f>
        <v>3.05490145569525</v>
      </c>
      <c r="I52" s="23">
        <f>H52*(1+I51)</f>
        <v>3.2076465284800126</v>
      </c>
      <c r="J52" s="23">
        <f>I52*(1+J51)</f>
        <v>3.3680288549040136</v>
      </c>
      <c r="K52" s="23">
        <f>J52*(1+K51)</f>
        <v>3.5364302976492143</v>
      </c>
    </row>
    <row r="53">
      <c r="A53" s="22" t="inlineStr">
        <is>
          <t xml:space="preserve">    其他投资收益（现金）</t>
        </is>
      </c>
      <c r="B53" s="20" t="inlineStr">
        <is>
          <t>亿元</t>
        </is>
      </c>
      <c r="C53" s="25">
        <f>C50-C52</f>
        <v>0.061898833599999925</v>
      </c>
      <c r="D53" s="25">
        <f>D50-D52</f>
        <v>0.05702468429999996</v>
      </c>
      <c r="E53" s="25">
        <f>E50-E52</f>
        <v>0.7189732103999997</v>
      </c>
      <c r="F53" s="25">
        <f>F50-F52</f>
        <v>0.31554477820000004</v>
      </c>
      <c r="G53" s="15" t="n">
        <v>0.3</v>
      </c>
      <c r="H53" s="15" t="n">
        <v>0.3</v>
      </c>
      <c r="I53" s="15" t="n">
        <v>0.3</v>
      </c>
      <c r="J53" s="15" t="n">
        <v>0.3</v>
      </c>
      <c r="K53" s="15" t="n">
        <v>0.3</v>
      </c>
    </row>
    <row r="54">
      <c r="A54" s="22" t="inlineStr">
        <is>
          <t>公允价值变动收益</t>
        </is>
      </c>
      <c r="B54" s="20" t="inlineStr">
        <is>
          <t>亿元</t>
        </is>
      </c>
      <c r="C54" s="24" t="n">
        <v>0.0004824547</v>
      </c>
      <c r="D54" s="24" t="n">
        <v>0.0015586998</v>
      </c>
      <c r="E54" s="24" t="n">
        <v>0</v>
      </c>
      <c r="F54" s="24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</row>
    <row r="55">
      <c r="A55" s="22" t="inlineStr">
        <is>
          <t>信用减值损失</t>
        </is>
      </c>
      <c r="B55" s="20" t="inlineStr">
        <is>
          <t>亿元</t>
        </is>
      </c>
      <c r="C55" s="24" t="n">
        <v>0.8726532698</v>
      </c>
      <c r="D55" s="24" t="n">
        <v>-0.8373388797</v>
      </c>
      <c r="E55" s="24" t="n">
        <v>-0.6590237433</v>
      </c>
      <c r="F55" s="24" t="n">
        <v>-0.2353397627</v>
      </c>
      <c r="G55" s="15" t="n">
        <v>-0.3</v>
      </c>
      <c r="H55" s="15" t="n">
        <v>-0.3</v>
      </c>
      <c r="I55" s="15" t="n">
        <v>-0.3</v>
      </c>
      <c r="J55" s="15" t="n">
        <v>-0.3</v>
      </c>
      <c r="K55" s="15" t="n">
        <v>-0.3</v>
      </c>
    </row>
    <row r="56">
      <c r="A56" s="22" t="inlineStr">
        <is>
          <t>资产减值损失</t>
        </is>
      </c>
      <c r="B56" s="20" t="inlineStr">
        <is>
          <t>亿元</t>
        </is>
      </c>
      <c r="C56" s="24" t="n">
        <v>-2.4754308076</v>
      </c>
      <c r="D56" s="24" t="n">
        <v>-2.0821847893</v>
      </c>
      <c r="E56" s="24" t="n">
        <v>-4.9857073546</v>
      </c>
      <c r="F56" s="24" t="n">
        <v>-4.9585677514</v>
      </c>
      <c r="G56" s="15" t="n">
        <v>-5</v>
      </c>
      <c r="H56" s="15" t="n">
        <v>-5</v>
      </c>
      <c r="I56" s="15" t="n">
        <v>-5</v>
      </c>
      <c r="J56" s="15" t="n">
        <v>-5</v>
      </c>
      <c r="K56" s="15" t="n">
        <v>-5</v>
      </c>
      <c r="L56" s="20" t="inlineStr">
        <is>
          <t>主要为新能源项目及在建工程减值</t>
        </is>
      </c>
    </row>
    <row r="57">
      <c r="A57" s="22" t="inlineStr">
        <is>
          <t>资产处置收益</t>
        </is>
      </c>
      <c r="B57" s="20" t="inlineStr">
        <is>
          <t>亿元</t>
        </is>
      </c>
      <c r="C57" s="24" t="n">
        <v>0.0104220167</v>
      </c>
      <c r="D57" s="24" t="n">
        <v>0.5792954469</v>
      </c>
      <c r="E57" s="24" t="n">
        <v>0.1123050972</v>
      </c>
      <c r="F57" s="24" t="n">
        <v>-0.0272920344</v>
      </c>
      <c r="G57" s="15" t="n">
        <v>0</v>
      </c>
      <c r="H57" s="15" t="n">
        <v>0</v>
      </c>
      <c r="I57" s="15" t="n">
        <v>0</v>
      </c>
      <c r="J57" s="15" t="n">
        <v>0</v>
      </c>
      <c r="K57" s="15" t="n">
        <v>0</v>
      </c>
    </row>
    <row r="58">
      <c r="A58" s="22" t="inlineStr">
        <is>
          <t>其他（报表其余项目）</t>
        </is>
      </c>
      <c r="B58" s="20" t="inlineStr">
        <is>
          <t>亿元</t>
        </is>
      </c>
      <c r="C58" s="25">
        <f>C59-(C7-C29-C35-C37-C39-C41-C48+C49+C50+C54+C55+C56+C57)</f>
        <v>1.7053025658242404e-13</v>
      </c>
      <c r="D58" s="25">
        <f>D59-(D7-D29-D35-D37-D39-D41-D48+D49+D50+D54+D55+D56+D57)</f>
        <v>-5.684341886080802e-14</v>
      </c>
      <c r="E58" s="25">
        <f>E59-(E7-E29-E35-E37-E39-E41-E48+E49+E50+E54+E55+E56+E57)</f>
        <v>2.842170943040401e-14</v>
      </c>
      <c r="F58" s="25">
        <f>F59-(F7-F29-F35-F37-F39-F41-F48+F49+F50+F54+F55+F56+F57)</f>
        <v>0.0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</row>
    <row r="59">
      <c r="A59" s="21" t="inlineStr">
        <is>
          <t>营业利润 Operating profit</t>
        </is>
      </c>
      <c r="B59" s="20" t="inlineStr">
        <is>
          <t>亿元</t>
        </is>
      </c>
      <c r="C59" s="30" t="n">
        <v>196.4517787565</v>
      </c>
      <c r="D59" s="30" t="n">
        <v>226.4587528456</v>
      </c>
      <c r="E59" s="30" t="n">
        <v>223.8201980394</v>
      </c>
      <c r="F59" s="30" t="n">
        <v>231.2227273014</v>
      </c>
      <c r="G59" s="29">
        <f>G7-G29-G35-G37-G39-G41-G48+G49+G50+G54+G55+G56+G57+G58</f>
        <v>182.47247049217464</v>
      </c>
      <c r="H59" s="29">
        <f>H7-H29-H35-H37-H39-H41-H48+H49+H50+H54+H55+H56+H57+H58</f>
        <v>206.85461305139924</v>
      </c>
      <c r="I59" s="29">
        <f>I7-I29-I35-I37-I39-I41-I48+I49+I50+I54+I55+I56+I57+I58</f>
        <v>217.2102915188034</v>
      </c>
      <c r="J59" s="29">
        <f>J7-J29-J35-J37-J39-J41-J48+J49+J50+J54+J55+J56+J57+J58</f>
        <v>230.2748674801834</v>
      </c>
      <c r="K59" s="29">
        <f>K7-K29-K35-K37-K39-K41-K48+K49+K50+K54+K55+K56+K57+K58</f>
        <v>246.20725173831445</v>
      </c>
      <c r="M59" s="15" t="n">
        <v>92.14950502319999</v>
      </c>
      <c r="N59" s="39">
        <f>IFERROR(M59/G59,"")</f>
        <v>0.5050049729400241</v>
      </c>
    </row>
    <row r="60">
      <c r="A60" s="22" t="inlineStr">
        <is>
          <t>加：营业外收入</t>
        </is>
      </c>
      <c r="B60" s="20" t="inlineStr">
        <is>
          <t>亿元</t>
        </is>
      </c>
      <c r="C60" s="24" t="n">
        <v>0.4365663094</v>
      </c>
      <c r="D60" s="24" t="n">
        <v>4.5910362525</v>
      </c>
      <c r="E60" s="24" t="n">
        <v>2.6000139775</v>
      </c>
      <c r="F60" s="24" t="n">
        <v>2.7670826637</v>
      </c>
      <c r="G60" s="15" t="n">
        <v>2.5</v>
      </c>
      <c r="H60" s="15" t="n">
        <v>2.5</v>
      </c>
      <c r="I60" s="15" t="n">
        <v>2.5</v>
      </c>
      <c r="J60" s="15" t="n">
        <v>2.5</v>
      </c>
      <c r="K60" s="15" t="n">
        <v>2.5</v>
      </c>
    </row>
    <row r="61">
      <c r="A61" s="22" t="inlineStr">
        <is>
          <t>减：营业外支出</t>
        </is>
      </c>
      <c r="B61" s="20" t="inlineStr">
        <is>
          <t>亿元</t>
        </is>
      </c>
      <c r="C61" s="24" t="n">
        <v>1.1905965848</v>
      </c>
      <c r="D61" s="24" t="n">
        <v>1.2382112871</v>
      </c>
      <c r="E61" s="24" t="n">
        <v>0.7810621623</v>
      </c>
      <c r="F61" s="24" t="n">
        <v>1.0991295341</v>
      </c>
      <c r="G61" s="15" t="n">
        <v>1</v>
      </c>
      <c r="H61" s="15" t="n">
        <v>1</v>
      </c>
      <c r="I61" s="15" t="n">
        <v>1</v>
      </c>
      <c r="J61" s="15" t="n">
        <v>1</v>
      </c>
      <c r="K61" s="15" t="n">
        <v>1</v>
      </c>
    </row>
    <row r="62">
      <c r="A62" s="21" t="inlineStr">
        <is>
          <t>利润总额 Pre-tax profit</t>
        </is>
      </c>
      <c r="B62" s="20" t="inlineStr">
        <is>
          <t>亿元</t>
        </is>
      </c>
      <c r="C62" s="30" t="n">
        <v>195.6977484811</v>
      </c>
      <c r="D62" s="30" t="n">
        <v>229.811577811</v>
      </c>
      <c r="E62" s="30" t="n">
        <v>225.6391498546</v>
      </c>
      <c r="F62" s="30" t="n">
        <v>232.890680431</v>
      </c>
      <c r="G62" s="29">
        <f>G59+G60-G61</f>
        <v>183.97247049217464</v>
      </c>
      <c r="H62" s="29">
        <f>H59+H60-H61</f>
        <v>208.35461305139924</v>
      </c>
      <c r="I62" s="29">
        <f>I59+I60-I61</f>
        <v>218.7102915188034</v>
      </c>
      <c r="J62" s="29">
        <f>J59+J60-J61</f>
        <v>231.7748674801834</v>
      </c>
      <c r="K62" s="29">
        <f>K59+K60-K61</f>
        <v>247.70725173831445</v>
      </c>
      <c r="M62" s="15" t="n">
        <v>92.91668386290002</v>
      </c>
      <c r="N62" s="39">
        <f>IFERROR(M62/G62,"")</f>
        <v>0.5050575426547435</v>
      </c>
    </row>
    <row r="63">
      <c r="A63" s="22" t="inlineStr">
        <is>
          <t>实际税率</t>
        </is>
      </c>
      <c r="B63" s="20" t="inlineStr">
        <is>
          <t>%</t>
        </is>
      </c>
      <c r="C63" s="31">
        <f>C64/C62</f>
        <v>0.16591481862212526</v>
      </c>
      <c r="D63" s="31">
        <f>D64/D62</f>
        <v>0.15536802334808628</v>
      </c>
      <c r="E63" s="31">
        <f>E64/E62</f>
        <v>0.266390824761719</v>
      </c>
      <c r="F63" s="31">
        <f>F64/F62</f>
        <v>0.22836853609845256</v>
      </c>
      <c r="G63" s="32" t="n">
        <v>0.235</v>
      </c>
      <c r="H63" s="32" t="n">
        <v>0.235</v>
      </c>
      <c r="I63" s="32" t="n">
        <v>0.235</v>
      </c>
      <c r="J63" s="32" t="n">
        <v>0.235</v>
      </c>
      <c r="K63" s="32" t="n">
        <v>0.235</v>
      </c>
      <c r="L63" s="20" t="inlineStr">
        <is>
          <t>2024A 26.6% / 2025A 22.8%；部分子公司享受西部大开发/高新技术 15% 及三免三减半</t>
        </is>
      </c>
    </row>
    <row r="64">
      <c r="A64" s="22" t="inlineStr">
        <is>
          <t>减：所得税费用</t>
        </is>
      </c>
      <c r="B64" s="20" t="inlineStr">
        <is>
          <t>亿元</t>
        </is>
      </c>
      <c r="C64" s="24" t="n">
        <v>32.469156444</v>
      </c>
      <c r="D64" s="24" t="n">
        <v>35.705370587</v>
      </c>
      <c r="E64" s="24" t="n">
        <v>60.1081992283</v>
      </c>
      <c r="F64" s="24" t="n">
        <v>53.184903761</v>
      </c>
      <c r="G64" s="23">
        <f>G62*G63</f>
        <v>43.233530565661034</v>
      </c>
      <c r="H64" s="23">
        <f>H62*H63</f>
        <v>48.96333406707882</v>
      </c>
      <c r="I64" s="23">
        <f>I62*I63</f>
        <v>51.396918506918794</v>
      </c>
      <c r="J64" s="23">
        <f>J62*J63</f>
        <v>54.467093857843096</v>
      </c>
      <c r="K64" s="23">
        <f>K62*K63</f>
        <v>58.2112041585039</v>
      </c>
      <c r="M64" s="15" t="n">
        <v>21.8276061534</v>
      </c>
      <c r="N64" s="39">
        <f>IFERROR(M64/G64,"")</f>
        <v>0.5048767904867096</v>
      </c>
    </row>
    <row r="65">
      <c r="A65" s="21" t="inlineStr">
        <is>
          <t>净利润 Net profit</t>
        </is>
      </c>
      <c r="B65" s="20" t="inlineStr">
        <is>
          <t>亿元</t>
        </is>
      </c>
      <c r="C65" s="30" t="n">
        <v>163.2285920371</v>
      </c>
      <c r="D65" s="30" t="n">
        <v>194.106207224</v>
      </c>
      <c r="E65" s="30" t="n">
        <v>165.5309506263</v>
      </c>
      <c r="F65" s="30" t="n">
        <v>179.70577667</v>
      </c>
      <c r="G65" s="29">
        <f>G62-G64</f>
        <v>140.7389399265136</v>
      </c>
      <c r="H65" s="29">
        <f>H62-H64</f>
        <v>159.39127898432042</v>
      </c>
      <c r="I65" s="29">
        <f>I62-I64</f>
        <v>167.3133730118846</v>
      </c>
      <c r="J65" s="29">
        <f>J62-J64</f>
        <v>177.30777362234028</v>
      </c>
      <c r="K65" s="29">
        <f>K62-K64</f>
        <v>189.49604757981055</v>
      </c>
      <c r="M65" s="15" t="n">
        <v>71.0890777095</v>
      </c>
      <c r="N65" s="39">
        <f>IFERROR(M65/G65,"")</f>
        <v>0.5051130678305445</v>
      </c>
    </row>
    <row r="66">
      <c r="A66" s="22" t="inlineStr">
        <is>
          <t>少数股东损益占比</t>
        </is>
      </c>
      <c r="B66" s="20" t="inlineStr">
        <is>
          <t>%</t>
        </is>
      </c>
      <c r="C66" s="31">
        <f>C67/C65</f>
        <v>0.4479921364247233</v>
      </c>
      <c r="D66" s="31">
        <f>D67/D65</f>
        <v>0.4526797025949806</v>
      </c>
      <c r="E66" s="31">
        <f>E67/E65</f>
        <v>0.4697461703004662</v>
      </c>
      <c r="F66" s="31">
        <f>F67/F65</f>
        <v>0.48225306336002494</v>
      </c>
      <c r="G66" s="32" t="n">
        <v>0.485</v>
      </c>
      <c r="H66" s="32" t="n">
        <v>0.485</v>
      </c>
      <c r="I66" s="32" t="n">
        <v>0.485</v>
      </c>
      <c r="J66" s="32" t="n">
        <v>0.485</v>
      </c>
      <c r="K66" s="32" t="n">
        <v>0.485</v>
      </c>
      <c r="L66" s="20" t="inlineStr">
        <is>
          <t>2024A 47.0% / 2025A 48.2% / 2026H1 48.8%；核电项目多为 50–72% 控股，中核汇能持股 62.71%</t>
        </is>
      </c>
    </row>
    <row r="67">
      <c r="A67" s="22" t="inlineStr">
        <is>
          <t>少数股东损益</t>
        </is>
      </c>
      <c r="B67" s="20" t="inlineStr">
        <is>
          <t>亿元</t>
        </is>
      </c>
      <c r="C67" s="24" t="n">
        <v>73.1251256723</v>
      </c>
      <c r="D67" s="24" t="n">
        <v>87.867940158</v>
      </c>
      <c r="E67" s="24" t="n">
        <v>77.75753012289999</v>
      </c>
      <c r="F67" s="24" t="n">
        <v>86.6636613026</v>
      </c>
      <c r="G67" s="23">
        <f>G65*G66</f>
        <v>68.2583858643591</v>
      </c>
      <c r="H67" s="23">
        <f>H65*H66</f>
        <v>77.3047703073954</v>
      </c>
      <c r="I67" s="23">
        <f>I65*I66</f>
        <v>81.14698591076403</v>
      </c>
      <c r="J67" s="23">
        <f>J65*J66</f>
        <v>85.99427020683503</v>
      </c>
      <c r="K67" s="23">
        <f>K65*K66</f>
        <v>91.90558307620812</v>
      </c>
      <c r="M67" s="15" t="n">
        <v>34.6775403607</v>
      </c>
      <c r="N67" s="39">
        <f>IFERROR(M67/G67,"")</f>
        <v>0.5080334074938442</v>
      </c>
    </row>
    <row r="68">
      <c r="A68" s="21" t="inlineStr">
        <is>
          <t>归属于母公司股东的净利润</t>
        </is>
      </c>
      <c r="B68" s="20" t="inlineStr">
        <is>
          <t>亿元</t>
        </is>
      </c>
      <c r="C68" s="30" t="n">
        <v>90.1034663648</v>
      </c>
      <c r="D68" s="30" t="n">
        <v>106.238267066</v>
      </c>
      <c r="E68" s="30" t="n">
        <v>87.7734205034</v>
      </c>
      <c r="F68" s="30" t="n">
        <v>93.0421153674</v>
      </c>
      <c r="G68" s="29">
        <f>G65-G67</f>
        <v>72.48055406215451</v>
      </c>
      <c r="H68" s="29">
        <f>H65-H67</f>
        <v>82.08650867692502</v>
      </c>
      <c r="I68" s="29">
        <f>I65-I67</f>
        <v>86.16638710112058</v>
      </c>
      <c r="J68" s="29">
        <f>J65-J67</f>
        <v>91.31350341550525</v>
      </c>
      <c r="K68" s="29">
        <f>K65-K67</f>
        <v>97.59046450360243</v>
      </c>
      <c r="M68" s="15" t="n">
        <v>36.4115373488</v>
      </c>
      <c r="N68" s="39">
        <f>IFERROR(M68/G68,"")</f>
        <v>0.5023628450408352</v>
      </c>
    </row>
    <row r="69">
      <c r="A69" s="22" t="inlineStr">
        <is>
          <t xml:space="preserve">  同比 YoY</t>
        </is>
      </c>
      <c r="B69" s="20" t="inlineStr">
        <is>
          <t>%</t>
        </is>
      </c>
      <c r="D69" s="31">
        <f>D68/C68-1</f>
        <v>0.1790697001142596</v>
      </c>
      <c r="E69" s="31">
        <f>E68/D68-1</f>
        <v>-0.17380598415756165</v>
      </c>
      <c r="F69" s="31">
        <f>F68/E68-1</f>
        <v>0.06002608573054191</v>
      </c>
      <c r="G69" s="36">
        <f>G68/F68-1</f>
        <v>-0.22099198007325005</v>
      </c>
      <c r="H69" s="36">
        <f>H68/G68-1</f>
        <v>0.13253147329051984</v>
      </c>
      <c r="I69" s="36">
        <f>I68/H68-1</f>
        <v>0.04970217993133419</v>
      </c>
      <c r="J69" s="36">
        <f>J68/I68-1</f>
        <v>0.05973461911945166</v>
      </c>
      <c r="K69" s="36">
        <f>K68/J68-1</f>
        <v>0.06874077604420714</v>
      </c>
    </row>
    <row r="70">
      <c r="A70" s="22" t="inlineStr">
        <is>
          <t>减：永续债持有人分配</t>
        </is>
      </c>
      <c r="B70" s="20" t="inlineStr">
        <is>
          <t>亿元</t>
        </is>
      </c>
      <c r="F70" s="24" t="n">
        <v>0.2626</v>
      </c>
      <c r="G70" s="15" t="n">
        <v>0.2626</v>
      </c>
      <c r="H70" s="15" t="n">
        <v>0.2626</v>
      </c>
      <c r="I70" s="15" t="n">
        <v>0.2626</v>
      </c>
      <c r="J70" s="15" t="n">
        <v>0.2626</v>
      </c>
      <c r="K70" s="15" t="n">
        <v>0.2626</v>
      </c>
      <c r="L70" s="20" t="inlineStr">
        <is>
          <t>永续债 10 亿元；2025A 归母 93.04 − 普通股东 92.78</t>
        </is>
      </c>
    </row>
    <row r="71">
      <c r="A71" s="21" t="inlineStr">
        <is>
          <t>归属于普通股股东净利润</t>
        </is>
      </c>
      <c r="B71" s="20" t="inlineStr">
        <is>
          <t>亿元</t>
        </is>
      </c>
      <c r="C71" s="28">
        <f>C68</f>
        <v>90.1034663648</v>
      </c>
      <c r="D71" s="28">
        <f>D68</f>
        <v>106.238267066</v>
      </c>
      <c r="E71" s="28">
        <f>E68</f>
        <v>87.7734205034</v>
      </c>
      <c r="F71" s="28">
        <f>F68-F70</f>
        <v>92.7795153674</v>
      </c>
      <c r="G71" s="29">
        <f>G68-G70</f>
        <v>72.2179540621545</v>
      </c>
      <c r="H71" s="29">
        <f>H68-H70</f>
        <v>81.82390867692502</v>
      </c>
      <c r="I71" s="29">
        <f>I68-I70</f>
        <v>85.90378710112057</v>
      </c>
      <c r="J71" s="29">
        <f>J68-J70</f>
        <v>91.05090341550525</v>
      </c>
      <c r="K71" s="29">
        <f>K68-K70</f>
        <v>97.32786450360243</v>
      </c>
    </row>
    <row r="73">
      <c r="A73" s="12" t="inlineStr">
        <is>
          <t>每股数据 Per share</t>
        </is>
      </c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</row>
    <row r="74">
      <c r="A74" s="22" t="inlineStr">
        <is>
          <t>加权平均股本</t>
        </is>
      </c>
      <c r="B74" s="20" t="inlineStr">
        <is>
          <t>亿股</t>
        </is>
      </c>
      <c r="C74" s="49" t="n">
        <v>188.83</v>
      </c>
      <c r="D74" s="49" t="n">
        <v>188.83</v>
      </c>
      <c r="E74" s="49" t="n">
        <v>188.83</v>
      </c>
      <c r="F74" s="49" t="n">
        <v>204.82</v>
      </c>
      <c r="G74" s="50" t="n">
        <v>205.14</v>
      </c>
      <c r="H74" s="50" t="n">
        <v>205.14</v>
      </c>
      <c r="I74" s="50" t="n">
        <v>205.14</v>
      </c>
      <c r="J74" s="50" t="n">
        <v>205.14</v>
      </c>
      <c r="K74" s="50" t="n">
        <v>205.14</v>
      </c>
      <c r="L74" s="20" t="inlineStr">
        <is>
          <t>2025 年 1 月定增后总股本 205.68 亿；剔除库存股约 0.54 亿（2026 中期分红股本基数 205.14 亿）</t>
        </is>
      </c>
    </row>
    <row r="75">
      <c r="A75" s="22" t="inlineStr">
        <is>
          <t>基本每股收益 EPS</t>
        </is>
      </c>
      <c r="B75" s="20" t="inlineStr">
        <is>
          <t>元/股</t>
        </is>
      </c>
      <c r="C75" s="51" t="n">
        <v>0.468</v>
      </c>
      <c r="D75" s="51" t="n">
        <v>0.554</v>
      </c>
      <c r="E75" s="51" t="n">
        <v>0.463</v>
      </c>
      <c r="F75" s="51" t="n">
        <v>0.453</v>
      </c>
      <c r="G75" s="52">
        <f>G71/G74</f>
        <v>0.352042283621695</v>
      </c>
      <c r="H75" s="52">
        <f>H71/H74</f>
        <v>0.39886861985436783</v>
      </c>
      <c r="I75" s="52">
        <f>I71/I74</f>
        <v>0.41875688359715596</v>
      </c>
      <c r="J75" s="52">
        <f>J71/J74</f>
        <v>0.44384763291169566</v>
      </c>
      <c r="K75" s="52">
        <f>K71/K74</f>
        <v>0.4744460588066805</v>
      </c>
    </row>
    <row r="76">
      <c r="A76" s="22" t="inlineStr">
        <is>
          <t>稀释每股收益 Diluted EPS</t>
        </is>
      </c>
      <c r="B76" s="20" t="inlineStr">
        <is>
          <t>元/股</t>
        </is>
      </c>
      <c r="C76" s="51" t="n">
        <v>0.467</v>
      </c>
      <c r="D76" s="51" t="n">
        <v>0.554</v>
      </c>
      <c r="E76" s="51" t="n">
        <v>0.463</v>
      </c>
      <c r="F76" s="51" t="n">
        <v>0.453</v>
      </c>
      <c r="G76" s="52">
        <f>G75</f>
        <v>0.352042283621695</v>
      </c>
      <c r="H76" s="52">
        <f>H75</f>
        <v>0.39886861985436783</v>
      </c>
      <c r="I76" s="52">
        <f>I75</f>
        <v>0.41875688359715596</v>
      </c>
      <c r="J76" s="52">
        <f>J75</f>
        <v>0.44384763291169566</v>
      </c>
      <c r="K76" s="52">
        <f>K75</f>
        <v>0.4744460588066805</v>
      </c>
    </row>
    <row r="77">
      <c r="A77" s="22" t="inlineStr">
        <is>
          <t>现金分红率（归属普通股）</t>
        </is>
      </c>
      <c r="B77" s="20" t="inlineStr">
        <is>
          <t>%</t>
        </is>
      </c>
      <c r="D77" s="35" t="n">
        <v>0.352</v>
      </c>
      <c r="F77" s="35" t="n">
        <v>0.398</v>
      </c>
      <c r="G77" s="32" t="n">
        <v>0.4</v>
      </c>
      <c r="H77" s="32" t="n">
        <v>0.4</v>
      </c>
      <c r="I77" s="32" t="n">
        <v>0.4</v>
      </c>
      <c r="J77" s="32" t="n">
        <v>0.4</v>
      </c>
      <c r="K77" s="32" t="n">
        <v>0.4</v>
      </c>
      <c r="L77" s="20" t="inlineStr">
        <is>
          <t>公司承诺≥35%；2025A 39.80%（含中期 0.02 元）</t>
        </is>
      </c>
    </row>
    <row r="78">
      <c r="A78" s="22" t="inlineStr">
        <is>
          <t>每股股利 DPS</t>
        </is>
      </c>
      <c r="B78" s="20" t="inlineStr">
        <is>
          <t>元/股</t>
        </is>
      </c>
      <c r="D78" s="51" t="n">
        <v>0.195</v>
      </c>
      <c r="F78" s="51" t="n">
        <v>0.18</v>
      </c>
      <c r="G78" s="52">
        <f>G75*G77</f>
        <v>0.140816913448678</v>
      </c>
      <c r="H78" s="52">
        <f>H75*H77</f>
        <v>0.15954744794174713</v>
      </c>
      <c r="I78" s="52">
        <f>I75*I77</f>
        <v>0.1675027534388624</v>
      </c>
      <c r="J78" s="52">
        <f>J75*J77</f>
        <v>0.17753905316467827</v>
      </c>
      <c r="K78" s="52">
        <f>K75*K77</f>
        <v>0.1897784235226722</v>
      </c>
    </row>
    <row r="80">
      <c r="A80" s="12" t="inlineStr">
        <is>
          <t>利润率与 EBITDA Margins</t>
        </is>
      </c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</row>
    <row r="81">
      <c r="A81" s="22" t="inlineStr">
        <is>
          <t>折旧摊销合计 D&amp;A</t>
        </is>
      </c>
      <c r="B81" s="20" t="inlineStr">
        <is>
          <t>亿元</t>
        </is>
      </c>
      <c r="C81" s="25">
        <f>'Cash Flow'!C8+'Cash Flow'!C9</f>
        <v>158.6831403045</v>
      </c>
      <c r="D81" s="25">
        <f>'Cash Flow'!D8+'Cash Flow'!D9</f>
        <v>167.8684097123</v>
      </c>
      <c r="E81" s="25">
        <f>'Cash Flow'!E8+'Cash Flow'!E9</f>
        <v>183.0957201194</v>
      </c>
      <c r="F81" s="25">
        <f>'Cash Flow'!F8+'Cash Flow'!F9</f>
        <v>216.0263072834</v>
      </c>
      <c r="G81" s="23">
        <f>'Cash Flow'!G8+'Cash Flow'!G9</f>
        <v>233.18517694661546</v>
      </c>
      <c r="H81" s="23">
        <f>'Cash Flow'!H8+'Cash Flow'!H9</f>
        <v>265.07744525973123</v>
      </c>
      <c r="I81" s="23">
        <f>'Cash Flow'!I8+'Cash Flow'!I9</f>
        <v>298.94411695940715</v>
      </c>
      <c r="J81" s="23">
        <f>'Cash Flow'!J8+'Cash Flow'!J9</f>
        <v>319.3142854488021</v>
      </c>
      <c r="K81" s="23">
        <f>'Cash Flow'!K8+'Cash Flow'!K9</f>
        <v>331.00201579732277</v>
      </c>
    </row>
    <row r="82">
      <c r="A82" s="21" t="inlineStr">
        <is>
          <t>EBIT（经营口径：利润总额+财务费用−投资收益−营业外净额）</t>
        </is>
      </c>
      <c r="B82" s="20" t="inlineStr">
        <is>
          <t>亿元</t>
        </is>
      </c>
      <c r="C82" s="28">
        <f>C62+C48-C50-C60+C61</f>
        <v>275.1445249437</v>
      </c>
      <c r="D82" s="28">
        <f>D62+D48-D50-D60+D61</f>
        <v>295.6554833</v>
      </c>
      <c r="E82" s="28">
        <f>E62+E48-E50-E60+E61</f>
        <v>288.1489093322</v>
      </c>
      <c r="F82" s="28">
        <f>F62+F48-F50-F60+F61</f>
        <v>296.4811329938999</v>
      </c>
      <c r="G82" s="29">
        <f>G62+G48-G50-G60+G61</f>
        <v>253.02162682796325</v>
      </c>
      <c r="H82" s="29">
        <f>H62+H48-H50-H60+H61</f>
        <v>278.50838749348515</v>
      </c>
      <c r="I82" s="29">
        <f>I62+I48-I50-I60+I61</f>
        <v>300.10786602793127</v>
      </c>
      <c r="J82" s="29">
        <f>J62+J48-J50-J60+J61</f>
        <v>318.63958172535285</v>
      </c>
      <c r="K82" s="29">
        <f>K62+K48-K50-K60+K61</f>
        <v>341.6229865607179</v>
      </c>
    </row>
    <row r="83">
      <c r="A83" s="21" t="inlineStr">
        <is>
          <t>EBITDA</t>
        </is>
      </c>
      <c r="B83" s="20" t="inlineStr">
        <is>
          <t>亿元</t>
        </is>
      </c>
      <c r="C83" s="28">
        <f>C82+C81</f>
        <v>433.8276652482</v>
      </c>
      <c r="D83" s="28">
        <f>D82+D81</f>
        <v>463.52389301230005</v>
      </c>
      <c r="E83" s="28">
        <f>E82+E81</f>
        <v>471.24462945159996</v>
      </c>
      <c r="F83" s="28">
        <f>F82+F81</f>
        <v>512.5074402772999</v>
      </c>
      <c r="G83" s="29">
        <f>G82+G81</f>
        <v>486.2068037745787</v>
      </c>
      <c r="H83" s="29">
        <f>H82+H81</f>
        <v>543.5858327532164</v>
      </c>
      <c r="I83" s="29">
        <f>I82+I81</f>
        <v>599.0519829873384</v>
      </c>
      <c r="J83" s="29">
        <f>J82+J81</f>
        <v>637.953867174155</v>
      </c>
      <c r="K83" s="29">
        <f>K82+K81</f>
        <v>672.6250023580407</v>
      </c>
    </row>
    <row r="84">
      <c r="A84" s="22" t="inlineStr">
        <is>
          <t xml:space="preserve">  EBITDA 利润率</t>
        </is>
      </c>
      <c r="B84" s="20" t="inlineStr">
        <is>
          <t>%</t>
        </is>
      </c>
      <c r="C84" s="31">
        <f>C83/C7</f>
        <v>0.6085768515857372</v>
      </c>
      <c r="D84" s="31">
        <f>D83/D7</f>
        <v>0.6183849117240368</v>
      </c>
      <c r="E84" s="31">
        <f>E83/E7</f>
        <v>0.6098512689281282</v>
      </c>
      <c r="F84" s="31">
        <f>F83/F7</f>
        <v>0.6244341733762901</v>
      </c>
      <c r="G84" s="36">
        <f>G83/G7</f>
        <v>0.6021679982409286</v>
      </c>
      <c r="H84" s="36">
        <f>H83/H7</f>
        <v>0.5981919095334707</v>
      </c>
      <c r="I84" s="36">
        <f>I83/I7</f>
        <v>0.5903886800632199</v>
      </c>
      <c r="J84" s="36">
        <f>J83/J7</f>
        <v>0.5820091146321192</v>
      </c>
      <c r="K84" s="36">
        <f>K83/K7</f>
        <v>0.5737767108201497</v>
      </c>
    </row>
    <row r="85">
      <c r="A85" s="22" t="inlineStr">
        <is>
          <t xml:space="preserve">  EBIT 利润率</t>
        </is>
      </c>
      <c r="B85" s="20" t="inlineStr">
        <is>
          <t>%</t>
        </is>
      </c>
      <c r="C85" s="31">
        <f>C82/C7</f>
        <v>0.3859748977177177</v>
      </c>
      <c r="D85" s="31">
        <f>D82/D7</f>
        <v>0.39443250433769206</v>
      </c>
      <c r="E85" s="31">
        <f>E82/E7</f>
        <v>0.37290181577453246</v>
      </c>
      <c r="F85" s="31">
        <f>F82/F7</f>
        <v>0.36122978254236243</v>
      </c>
      <c r="G85" s="36">
        <f>G82/G7</f>
        <v>0.31336773849281147</v>
      </c>
      <c r="H85" s="36">
        <f>H82/H7</f>
        <v>0.3064860305354047</v>
      </c>
      <c r="I85" s="36">
        <f>I82/I7</f>
        <v>0.29576779967785344</v>
      </c>
      <c r="J85" s="36">
        <f>J82/J7</f>
        <v>0.29069678920230624</v>
      </c>
      <c r="K85" s="36">
        <f>K82/K7</f>
        <v>0.2914184172193844</v>
      </c>
    </row>
    <row r="86">
      <c r="A86" s="22" t="inlineStr">
        <is>
          <t xml:space="preserve">  净利率（归母）</t>
        </is>
      </c>
      <c r="B86" s="20" t="inlineStr">
        <is>
          <t>%</t>
        </is>
      </c>
      <c r="C86" s="31">
        <f>C68/C7</f>
        <v>0.12639784935310525</v>
      </c>
      <c r="D86" s="31">
        <f>D68/D7</f>
        <v>0.14173194174389572</v>
      </c>
      <c r="E86" s="31">
        <f>E68/E7</f>
        <v>0.11359011546604468</v>
      </c>
      <c r="F86" s="31">
        <f>F68/F7</f>
        <v>0.1133616252813592</v>
      </c>
      <c r="G86" s="36">
        <f>G68/G7</f>
        <v>0.08976729616321134</v>
      </c>
      <c r="H86" s="36">
        <f>H68/H7</f>
        <v>0.09033253336217498</v>
      </c>
      <c r="I86" s="36">
        <f>I68/I7</f>
        <v>0.08492027568753122</v>
      </c>
      <c r="J86" s="36">
        <f>J68/J7</f>
        <v>0.08330585330915014</v>
      </c>
      <c r="K86" s="36">
        <f>K68/K7</f>
        <v>0.08324866832779607</v>
      </c>
    </row>
    <row r="87">
      <c r="A87" s="22" t="inlineStr">
        <is>
          <t xml:space="preserve">  ROE（归母，期末）</t>
        </is>
      </c>
      <c r="B87" s="20" t="inlineStr">
        <is>
          <t>%</t>
        </is>
      </c>
      <c r="C87" s="31">
        <f>C68/'Balance Sheet'!C57</f>
        <v>0.10154450118949027</v>
      </c>
      <c r="D87" s="31">
        <f>D68/'Balance Sheet'!D57</f>
        <v>0.11681001286574208</v>
      </c>
      <c r="E87" s="31">
        <f>E68/'Balance Sheet'!E57</f>
        <v>0.07963689664838286</v>
      </c>
      <c r="F87" s="31">
        <f>F68/'Balance Sheet'!F57</f>
        <v>0.0783726345109964</v>
      </c>
      <c r="G87" s="36">
        <f>G68/'Balance Sheet'!G57</f>
        <v>0.05929036010999476</v>
      </c>
      <c r="H87" s="36">
        <f>H68/'Balance Sheet'!H57</f>
        <v>0.0643611568969171</v>
      </c>
      <c r="I87" s="36">
        <f>I68/'Balance Sheet'!I57</f>
        <v>0.06485606462504166</v>
      </c>
      <c r="J87" s="36">
        <f>J68/'Balance Sheet'!J57</f>
        <v>0.0659175672034584</v>
      </c>
      <c r="K87" s="36">
        <f>K68/'Balance Sheet'!K57</f>
        <v>0.06748175252361745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L5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60" customWidth="1" min="12" max="12"/>
  </cols>
  <sheetData>
    <row r="1">
      <c r="A1" s="6" t="inlineStr">
        <is>
          <t>现金流量表 Cash Flow Statement（间接法；历史期取自年报补充资料与主表）</t>
        </is>
      </c>
    </row>
    <row r="2">
      <c r="A2" s="7" t="inlineStr">
        <is>
          <t>单位：亿元人民币（另有注明除外）｜蓝色=硬编码输入　黑色=公式　绿色=跨表链接｜A=实际 E=预测</t>
        </is>
      </c>
    </row>
    <row r="3">
      <c r="A3" s="8" t="inlineStr">
        <is>
          <t>项目 / Line item</t>
        </is>
      </c>
      <c r="B3" s="9" t="inlineStr">
        <is>
          <t>单位</t>
        </is>
      </c>
      <c r="C3" s="10" t="n">
        <v>2022</v>
      </c>
      <c r="D3" s="10" t="n">
        <v>2023</v>
      </c>
      <c r="E3" s="10" t="n">
        <v>2024</v>
      </c>
      <c r="F3" s="10" t="n">
        <v>2025</v>
      </c>
      <c r="G3" s="11" t="n">
        <v>2026</v>
      </c>
      <c r="H3" s="11" t="n">
        <v>2027</v>
      </c>
      <c r="I3" s="11" t="n">
        <v>2028</v>
      </c>
      <c r="J3" s="11" t="n">
        <v>2029</v>
      </c>
      <c r="K3" s="11" t="n">
        <v>2030</v>
      </c>
      <c r="L3" s="9" t="inlineStr">
        <is>
          <t>来源 / 说明</t>
        </is>
      </c>
    </row>
    <row r="6">
      <c r="A6" s="12" t="inlineStr">
        <is>
          <t>经营活动 Operating activities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</row>
    <row r="7">
      <c r="A7" s="22" t="inlineStr">
        <is>
          <t>净利润</t>
        </is>
      </c>
      <c r="B7" s="20" t="inlineStr">
        <is>
          <t>亿元</t>
        </is>
      </c>
      <c r="C7" s="24" t="n">
        <v>163.2285920371</v>
      </c>
      <c r="D7" s="24" t="n">
        <v>194.106207224</v>
      </c>
      <c r="E7" s="24" t="n">
        <v>165.5309506263</v>
      </c>
      <c r="F7" s="24" t="n">
        <v>179.70577667</v>
      </c>
      <c r="G7" s="41">
        <f>'Income Statement'!G65</f>
        <v>140.7389399265136</v>
      </c>
      <c r="H7" s="41">
        <f>'Income Statement'!H65</f>
        <v>159.39127898432042</v>
      </c>
      <c r="I7" s="41">
        <f>'Income Statement'!I65</f>
        <v>167.3133730118846</v>
      </c>
      <c r="J7" s="41">
        <f>'Income Statement'!J65</f>
        <v>177.30777362234028</v>
      </c>
      <c r="K7" s="41">
        <f>'Income Statement'!K65</f>
        <v>189.49604757981055</v>
      </c>
    </row>
    <row r="8">
      <c r="A8" s="22" t="inlineStr">
        <is>
          <t>固定资产折旧</t>
        </is>
      </c>
      <c r="B8" s="20" t="inlineStr">
        <is>
          <t>亿元</t>
        </is>
      </c>
      <c r="C8" s="24" t="n">
        <v>152.0271986217</v>
      </c>
      <c r="D8" s="24" t="n">
        <v>160.8245529877</v>
      </c>
      <c r="E8" s="24" t="n">
        <v>173.3204375823</v>
      </c>
      <c r="F8" s="24" t="n">
        <v>203.4066679771</v>
      </c>
      <c r="G8" s="41">
        <f>'Balance Sheet'!G76</f>
        <v>220.58517694661546</v>
      </c>
      <c r="H8" s="41">
        <f>'Balance Sheet'!H76</f>
        <v>252.47744525973124</v>
      </c>
      <c r="I8" s="41">
        <f>'Balance Sheet'!I76</f>
        <v>286.34411695940713</v>
      </c>
      <c r="J8" s="41">
        <f>'Balance Sheet'!J76</f>
        <v>306.71428544880206</v>
      </c>
      <c r="K8" s="41">
        <f>'Balance Sheet'!K76</f>
        <v>318.40201579732275</v>
      </c>
    </row>
    <row r="9">
      <c r="A9" s="22" t="inlineStr">
        <is>
          <t>使用权资产、无形资产及长期待摊摊销</t>
        </is>
      </c>
      <c r="B9" s="20" t="inlineStr">
        <is>
          <t>亿元</t>
        </is>
      </c>
      <c r="C9" s="25">
        <f>3.1243855123000004+2.1659168306+1.3656393399000002</f>
        <v>6.655941682800001</v>
      </c>
      <c r="D9" s="25">
        <f>2.9154197232+2.7385706627999995+1.3898663386</f>
        <v>7.0438567245999995</v>
      </c>
      <c r="E9" s="25">
        <f>4.4977654722+3.6613896102999997+1.6161274546000002</f>
        <v>9.7752825371</v>
      </c>
      <c r="F9" s="25">
        <f>5.646995999+5.0982287977+1.8744145096</f>
        <v>12.6196393063</v>
      </c>
      <c r="G9" s="15" t="n">
        <v>12.6</v>
      </c>
      <c r="H9" s="15" t="n">
        <v>12.6</v>
      </c>
      <c r="I9" s="15" t="n">
        <v>12.6</v>
      </c>
      <c r="J9" s="15" t="n">
        <v>12.6</v>
      </c>
      <c r="K9" s="15" t="n">
        <v>12.6</v>
      </c>
      <c r="L9" s="20" t="inlineStr">
        <is>
          <t>预测期假设由等额“其他长期资产支出”补充，相关资产余额持平</t>
        </is>
      </c>
    </row>
    <row r="10">
      <c r="A10" s="22" t="inlineStr">
        <is>
          <t>资产及信用减值准备</t>
        </is>
      </c>
      <c r="B10" s="20" t="inlineStr">
        <is>
          <t>亿元</t>
        </is>
      </c>
      <c r="C10" s="25">
        <f>-0.8726532698+2.4754308076</f>
        <v>1.6027775378</v>
      </c>
      <c r="D10" s="25">
        <f>0.8373388797+2.0821847893000003</f>
        <v>2.919523669</v>
      </c>
      <c r="E10" s="25">
        <f>4.9857073546+0.6590237433</f>
        <v>5.644731097899999</v>
      </c>
      <c r="F10" s="25">
        <f>4.9585677513999995+0.23533976269999998</f>
        <v>5.193907514099999</v>
      </c>
      <c r="G10" s="23">
        <f>-('Income Statement'!G56+'Income Statement'!G55)</f>
        <v>5.3</v>
      </c>
      <c r="H10" s="23">
        <f>-('Income Statement'!H56+'Income Statement'!H55)</f>
        <v>5.3</v>
      </c>
      <c r="I10" s="23">
        <f>-('Income Statement'!I56+'Income Statement'!I55)</f>
        <v>5.3</v>
      </c>
      <c r="J10" s="23">
        <f>-('Income Statement'!J56+'Income Statement'!J55)</f>
        <v>5.3</v>
      </c>
      <c r="K10" s="23">
        <f>-('Income Statement'!K56+'Income Statement'!K55)</f>
        <v>5.3</v>
      </c>
    </row>
    <row r="11">
      <c r="A11" s="22" t="inlineStr">
        <is>
          <t>财务费用（加回，利息在筹资活动列示）</t>
        </is>
      </c>
      <c r="B11" s="20" t="inlineStr">
        <is>
          <t>亿元</t>
        </is>
      </c>
      <c r="C11" s="24" t="n">
        <v>83.4654836177</v>
      </c>
      <c r="D11" s="24" t="n">
        <v>74.7498790847</v>
      </c>
      <c r="E11" s="24" t="n">
        <v>69.84241868609999</v>
      </c>
      <c r="F11" s="24" t="n">
        <v>69.6503344563</v>
      </c>
      <c r="G11" s="41">
        <f>'Income Statement'!G48</f>
        <v>73.75858629359361</v>
      </c>
      <c r="H11" s="41">
        <f>'Income Statement'!H48</f>
        <v>75.00867589778117</v>
      </c>
      <c r="I11" s="41">
        <f>'Income Statement'!I48</f>
        <v>86.40522103760786</v>
      </c>
      <c r="J11" s="41">
        <f>'Income Statement'!J48</f>
        <v>92.03274310007347</v>
      </c>
      <c r="K11" s="41">
        <f>'Income Statement'!K48</f>
        <v>99.25216512005262</v>
      </c>
    </row>
    <row r="12">
      <c r="A12" s="22" t="inlineStr">
        <is>
          <t>投资损失（收益以“－”填列）</t>
        </is>
      </c>
      <c r="B12" s="20" t="inlineStr">
        <is>
          <t>亿元</t>
        </is>
      </c>
      <c r="C12" s="24" t="n">
        <v>-2.7523639866</v>
      </c>
      <c r="D12" s="24" t="n">
        <v>-3.8207070524</v>
      </c>
      <c r="E12" s="24" t="n">
        <v>-4.107261432</v>
      </c>
      <c r="F12" s="24" t="n">
        <v>-3.0864304523</v>
      </c>
      <c r="G12" s="23">
        <f>-'Income Statement'!G52*(1-G13)</f>
        <v>-1.4547149789025</v>
      </c>
      <c r="H12" s="23">
        <f>-'Income Statement'!H52*(1-H13)</f>
        <v>-1.527450727847625</v>
      </c>
      <c r="I12" s="23">
        <f>-'Income Statement'!I52*(1-I13)</f>
        <v>-1.6038232642400063</v>
      </c>
      <c r="J12" s="23">
        <f>-'Income Statement'!J52*(1-J13)</f>
        <v>-1.6840144274520068</v>
      </c>
      <c r="K12" s="23">
        <f>-'Income Statement'!K52*(1-K13)</f>
        <v>-1.7682151488246072</v>
      </c>
      <c r="L12" s="20" t="inlineStr">
        <is>
          <t>预测：剔除未收现的权益法收益</t>
        </is>
      </c>
    </row>
    <row r="13">
      <c r="A13" s="22" t="inlineStr">
        <is>
          <t xml:space="preserve">    联营合营企业收益现金分红比例</t>
        </is>
      </c>
      <c r="B13" s="20" t="inlineStr">
        <is>
          <t>%</t>
        </is>
      </c>
      <c r="G13" s="32" t="n">
        <v>0.5</v>
      </c>
      <c r="H13" s="32" t="n">
        <v>0.5</v>
      </c>
      <c r="I13" s="32" t="n">
        <v>0.5</v>
      </c>
      <c r="J13" s="32" t="n">
        <v>0.5</v>
      </c>
      <c r="K13" s="32" t="n">
        <v>0.5</v>
      </c>
    </row>
    <row r="14">
      <c r="A14" s="22" t="inlineStr">
        <is>
          <t>存货的减少（增加以“－”）</t>
        </is>
      </c>
      <c r="B14" s="20" t="inlineStr">
        <is>
          <t>亿元</t>
        </is>
      </c>
      <c r="C14" s="24" t="n">
        <v>-18.0296453191</v>
      </c>
      <c r="D14" s="24" t="n">
        <v>-16.4517314411</v>
      </c>
      <c r="E14" s="24" t="n">
        <v>-40.7017086107</v>
      </c>
      <c r="F14" s="24" t="n">
        <v>-56.1143694981</v>
      </c>
      <c r="G14" s="23">
        <f>'Balance Sheet'!F13-'Balance Sheet'!G13</f>
        <v>-37.01244019880005</v>
      </c>
      <c r="H14" s="23">
        <f>'Balance Sheet'!G13-'Balance Sheet'!H13</f>
        <v>-73.09449999999998</v>
      </c>
      <c r="I14" s="23">
        <f>'Balance Sheet'!H13-'Balance Sheet'!I13</f>
        <v>-37.192499999999995</v>
      </c>
      <c r="J14" s="23">
        <f>'Balance Sheet'!I13-'Balance Sheet'!J13</f>
        <v>-53.86750000000001</v>
      </c>
      <c r="K14" s="23">
        <f>'Balance Sheet'!J13-'Balance Sheet'!K13</f>
        <v>-17.61749999999995</v>
      </c>
    </row>
    <row r="15">
      <c r="A15" s="22" t="inlineStr">
        <is>
          <t>经营性应收项目的减少</t>
        </is>
      </c>
      <c r="B15" s="20" t="inlineStr">
        <is>
          <t>亿元</t>
        </is>
      </c>
      <c r="C15" s="24" t="n">
        <v>38.2974910799</v>
      </c>
      <c r="D15" s="24" t="n">
        <v>-26.6258059763</v>
      </c>
      <c r="E15" s="24" t="n">
        <v>-53.9043740957</v>
      </c>
      <c r="F15" s="24" t="n">
        <v>-8.393621853300001</v>
      </c>
      <c r="G15" s="23">
        <f>'Balance Sheet'!F9+'Balance Sheet'!F11-'Balance Sheet'!G9-'Balance Sheet'!G11</f>
        <v>10.71546514712082</v>
      </c>
      <c r="H15" s="23">
        <f>'Balance Sheet'!G9+'Balance Sheet'!G11-'Balance Sheet'!H9-'Balance Sheet'!H11</f>
        <v>-33.86752551074187</v>
      </c>
      <c r="I15" s="23">
        <f>'Balance Sheet'!H9+'Balance Sheet'!H11-'Balance Sheet'!I9-'Balance Sheet'!I11</f>
        <v>-35.42953373841524</v>
      </c>
      <c r="J15" s="23">
        <f>'Balance Sheet'!I9+'Balance Sheet'!I11-'Balance Sheet'!J9-'Balance Sheet'!J11</f>
        <v>-27.23429212207293</v>
      </c>
      <c r="K15" s="23">
        <f>'Balance Sheet'!J9+'Balance Sheet'!J11-'Balance Sheet'!K9-'Balance Sheet'!K11</f>
        <v>-25.46329649768235</v>
      </c>
    </row>
    <row r="16">
      <c r="A16" s="22" t="inlineStr">
        <is>
          <t>经营性应付项目的增加</t>
        </is>
      </c>
      <c r="B16" s="20" t="inlineStr">
        <is>
          <t>亿元</t>
        </is>
      </c>
      <c r="C16" s="24" t="n">
        <v>40.527872687</v>
      </c>
      <c r="D16" s="24" t="n">
        <v>37.387495415</v>
      </c>
      <c r="E16" s="24" t="n">
        <v>81.2707129973</v>
      </c>
      <c r="F16" s="24" t="n">
        <v>-30.0257071585</v>
      </c>
      <c r="G16" s="23">
        <f>'Balance Sheet'!G32+'Balance Sheet'!G34-'Balance Sheet'!F32-'Balance Sheet'!F34</f>
        <v>-27.95263209240465</v>
      </c>
      <c r="H16" s="23">
        <f>'Balance Sheet'!H32+'Balance Sheet'!H34-'Balance Sheet'!G32-'Balance Sheet'!G34</f>
        <v>22.21120343095876</v>
      </c>
      <c r="I16" s="23">
        <f>'Balance Sheet'!I32+'Balance Sheet'!I34-'Balance Sheet'!H32-'Balance Sheet'!H34</f>
        <v>27.602425712554343</v>
      </c>
      <c r="J16" s="23">
        <f>'Balance Sheet'!J32+'Balance Sheet'!J34-'Balance Sheet'!I32-'Balance Sheet'!I34</f>
        <v>21.165715394568153</v>
      </c>
      <c r="K16" s="23">
        <f>'Balance Sheet'!K32+'Balance Sheet'!K34-'Balance Sheet'!J32-'Balance Sheet'!J34</f>
        <v>18.880812266936744</v>
      </c>
    </row>
    <row r="17">
      <c r="A17" s="22" t="inlineStr">
        <is>
          <t>其他（递延税、处置损益等）</t>
        </is>
      </c>
      <c r="B17" s="20" t="inlineStr">
        <is>
          <t>亿元</t>
        </is>
      </c>
      <c r="C17" s="25">
        <f>C18-SUM(C7:C11)-C12-C14-C15-C16</f>
        <v>1.9548266950998965</v>
      </c>
      <c r="D17" s="25">
        <f>D18-SUM(D7:D11)-D12-D14-D15-D16</f>
        <v>1.1274805707000368</v>
      </c>
      <c r="E17" s="25">
        <f>E18-SUM(E7:E11)-E12-E14-E15-E16</f>
        <v>0.5341403220000132</v>
      </c>
      <c r="F17" s="25">
        <f>F18-SUM(F7:F11)-F12-F14-F15-F16</f>
        <v>1.127771723700043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</row>
    <row r="18">
      <c r="A18" s="21" t="inlineStr">
        <is>
          <t>经营活动现金流量净额 CFO</t>
        </is>
      </c>
      <c r="B18" s="20" t="inlineStr">
        <is>
          <t>亿元</t>
        </is>
      </c>
      <c r="C18" s="30" t="n">
        <v>466.9781746533999</v>
      </c>
      <c r="D18" s="30" t="n">
        <v>431.2607512059</v>
      </c>
      <c r="E18" s="30" t="n">
        <v>407.2053297106</v>
      </c>
      <c r="F18" s="30" t="n">
        <v>374.0839686853</v>
      </c>
      <c r="G18" s="29">
        <f>SUM(G7:G11)+G12+G14+G15+G16+G17</f>
        <v>397.2783810437364</v>
      </c>
      <c r="H18" s="29">
        <f>SUM(H7:H11)+H12+H14+H15+H16+H17</f>
        <v>418.49912733420217</v>
      </c>
      <c r="I18" s="29">
        <f>SUM(I7:I11)+I12+I14+I15+I16+I17</f>
        <v>511.3392797187988</v>
      </c>
      <c r="J18" s="29">
        <f>SUM(J7:J11)+J12+J14+J15+J16+J17</f>
        <v>532.3347110162591</v>
      </c>
      <c r="K18" s="29">
        <f>SUM(K7:K11)+K12+K14+K15+K16+K17</f>
        <v>599.0820291176158</v>
      </c>
    </row>
    <row r="20">
      <c r="A20" s="12" t="inlineStr">
        <is>
          <t>投资活动 Investing activities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>
      <c r="A21" s="22" t="inlineStr">
        <is>
          <t>核电基础资本开支计划（正数）</t>
        </is>
      </c>
      <c r="B21" s="20" t="inlineStr">
        <is>
          <t>亿元</t>
        </is>
      </c>
      <c r="G21" s="15" t="n">
        <v>700</v>
      </c>
      <c r="H21" s="15" t="n">
        <v>740</v>
      </c>
      <c r="I21" s="15" t="n">
        <v>780</v>
      </c>
      <c r="J21" s="15" t="n">
        <v>800</v>
      </c>
      <c r="K21" s="15" t="n">
        <v>820</v>
      </c>
      <c r="L21" s="20" t="inlineStr">
        <is>
          <t>在建及核准 22 台、预算合计约 4,900 亿；2026H1 购建长期资产 346 亿（-19.5%）。牛/熊情景超支见 Scenarios</t>
        </is>
      </c>
    </row>
    <row r="22">
      <c r="A22" s="22" t="inlineStr">
        <is>
          <t xml:space="preserve">  核电资本开支</t>
        </is>
      </c>
      <c r="B22" s="20" t="inlineStr">
        <is>
          <t>亿元</t>
        </is>
      </c>
      <c r="G22" s="23">
        <f>-G21*(1+'Scenarios'!G72)</f>
        <v>-700.0</v>
      </c>
      <c r="H22" s="23">
        <f>-H21*(1+'Scenarios'!H72)</f>
        <v>-740.0</v>
      </c>
      <c r="I22" s="23">
        <f>-I21*(1+'Scenarios'!I72)</f>
        <v>-780.0</v>
      </c>
      <c r="J22" s="23">
        <f>-J21*(1+'Scenarios'!J72)</f>
        <v>-800.0</v>
      </c>
      <c r="K22" s="23">
        <f>-K21*(1+'Scenarios'!K72)</f>
        <v>-820.0</v>
      </c>
    </row>
    <row r="23">
      <c r="A23" s="22" t="inlineStr">
        <is>
          <t>新能源单位造价</t>
        </is>
      </c>
      <c r="B23" s="20" t="inlineStr">
        <is>
          <t>元/kW</t>
        </is>
      </c>
      <c r="G23" s="18" t="n">
        <v>3400</v>
      </c>
      <c r="H23" s="18" t="n">
        <v>3400</v>
      </c>
      <c r="I23" s="18" t="n">
        <v>3400</v>
      </c>
      <c r="J23" s="18" t="n">
        <v>3400</v>
      </c>
      <c r="K23" s="18" t="n">
        <v>3400</v>
      </c>
      <c r="L23" s="20" t="inlineStr">
        <is>
          <t>风光综合；含配储</t>
        </is>
      </c>
    </row>
    <row r="24">
      <c r="A24" s="22" t="inlineStr">
        <is>
          <t xml:space="preserve">  新能源资本开支</t>
        </is>
      </c>
      <c r="B24" s="20" t="inlineStr">
        <is>
          <t>亿元</t>
        </is>
      </c>
      <c r="G24" s="23">
        <f>-'Scenarios'!G54*G23/10000</f>
        <v>-119.0</v>
      </c>
      <c r="H24" s="23">
        <f>-'Scenarios'!H54*H23/10000</f>
        <v>-85.0</v>
      </c>
      <c r="I24" s="23">
        <f>-'Scenarios'!I54*I23/10000</f>
        <v>-68.0</v>
      </c>
      <c r="J24" s="23">
        <f>-'Scenarios'!J54*J23/10000</f>
        <v>-68.0</v>
      </c>
      <c r="K24" s="23">
        <f>-'Scenarios'!K54*K23/10000</f>
        <v>-68.0</v>
      </c>
    </row>
    <row r="25">
      <c r="A25" s="22" t="inlineStr">
        <is>
          <t>维护性资本开支（计入固定资产）</t>
        </is>
      </c>
      <c r="B25" s="20" t="inlineStr">
        <is>
          <t>亿元</t>
        </is>
      </c>
      <c r="G25" s="15" t="n">
        <v>20</v>
      </c>
      <c r="H25" s="15" t="n">
        <v>20</v>
      </c>
      <c r="I25" s="15" t="n">
        <v>20</v>
      </c>
      <c r="J25" s="15" t="n">
        <v>20</v>
      </c>
      <c r="K25" s="15" t="n">
        <v>20</v>
      </c>
    </row>
    <row r="26">
      <c r="A26" s="22" t="inlineStr">
        <is>
          <t xml:space="preserve">  维护性及其他长期资产支出</t>
        </is>
      </c>
      <c r="B26" s="20" t="inlineStr">
        <is>
          <t>亿元</t>
        </is>
      </c>
      <c r="G26" s="23">
        <f>-(G25+G9)</f>
        <v>-32.6</v>
      </c>
      <c r="H26" s="23">
        <f>-(H25+H9)</f>
        <v>-32.6</v>
      </c>
      <c r="I26" s="23">
        <f>-(I25+I9)</f>
        <v>-32.6</v>
      </c>
      <c r="J26" s="23">
        <f>-(J25+J9)</f>
        <v>-32.6</v>
      </c>
      <c r="K26" s="23">
        <f>-(K25+K9)</f>
        <v>-32.6</v>
      </c>
      <c r="L26" s="20" t="inlineStr">
        <is>
          <t>维护性 + 补充使用权资产/无形资产/长期待摊（使其余额持平）</t>
        </is>
      </c>
    </row>
    <row r="27">
      <c r="A27" s="21" t="inlineStr">
        <is>
          <t>购建固定资产、无形资产和其他长期资产支付的现金</t>
        </is>
      </c>
      <c r="B27" s="20" t="inlineStr">
        <is>
          <t>亿元</t>
        </is>
      </c>
      <c r="C27" s="30" t="n">
        <v>-505.0969059717</v>
      </c>
      <c r="D27" s="30" t="n">
        <v>-671.0034647059999</v>
      </c>
      <c r="E27" s="30" t="n">
        <v>-907.0832409621</v>
      </c>
      <c r="F27" s="30" t="n">
        <v>-936.8363814511</v>
      </c>
      <c r="G27" s="29">
        <f>G22+G24+G26</f>
        <v>-851.6</v>
      </c>
      <c r="H27" s="29">
        <f>H22+H24+H26</f>
        <v>-857.6</v>
      </c>
      <c r="I27" s="29">
        <f>I22+I24+I26</f>
        <v>-880.6</v>
      </c>
      <c r="J27" s="29">
        <f>J22+J24+J26</f>
        <v>-900.6</v>
      </c>
      <c r="K27" s="29">
        <f>K22+K24+K26</f>
        <v>-920.6</v>
      </c>
    </row>
    <row r="28">
      <c r="A28" s="22" t="inlineStr">
        <is>
          <t>股权投资（投资支付及取得子公司）</t>
        </is>
      </c>
      <c r="B28" s="20" t="inlineStr">
        <is>
          <t>亿元</t>
        </is>
      </c>
      <c r="C28" s="25">
        <f>-(7.609885+23.571262316)</f>
        <v>-31.181147316</v>
      </c>
      <c r="D28" s="25">
        <f>-(16.82098266+35.5248451362)</f>
        <v>-52.3458277962</v>
      </c>
      <c r="E28" s="25">
        <f>-(10.7057562237+20.9380719869)</f>
        <v>-31.6438282106</v>
      </c>
      <c r="F28" s="25">
        <f>-(17.04755449+1.5061814588999998)</f>
        <v>-18.553735948899998</v>
      </c>
      <c r="G28" s="15" t="n">
        <v>-15</v>
      </c>
      <c r="H28" s="15" t="n">
        <v>-15</v>
      </c>
      <c r="I28" s="15" t="n">
        <v>-15</v>
      </c>
      <c r="J28" s="15" t="n">
        <v>-15</v>
      </c>
      <c r="K28" s="15" t="n">
        <v>-15</v>
      </c>
    </row>
    <row r="29">
      <c r="A29" s="22" t="inlineStr">
        <is>
          <t>其他投资活动净额</t>
        </is>
      </c>
      <c r="B29" s="20" t="inlineStr">
        <is>
          <t>亿元</t>
        </is>
      </c>
      <c r="C29" s="25">
        <f>C30-C27-C28</f>
        <v>6.193247378900061</v>
      </c>
      <c r="D29" s="25">
        <f>D30-D27-D28</f>
        <v>6.2339508787999165</v>
      </c>
      <c r="E29" s="25">
        <f>E30-E27-E28</f>
        <v>-10.719436258799952</v>
      </c>
      <c r="F29" s="25">
        <f>F30-F27-F28</f>
        <v>8.605085127100097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</row>
    <row r="30">
      <c r="A30" s="21" t="inlineStr">
        <is>
          <t>投资活动现金流量净额 CFI</t>
        </is>
      </c>
      <c r="B30" s="20" t="inlineStr">
        <is>
          <t>亿元</t>
        </is>
      </c>
      <c r="C30" s="30" t="n">
        <v>-530.0848059087999</v>
      </c>
      <c r="D30" s="30" t="n">
        <v>-717.1153416234</v>
      </c>
      <c r="E30" s="30" t="n">
        <v>-949.4465054315</v>
      </c>
      <c r="F30" s="30" t="n">
        <v>-946.7850322728999</v>
      </c>
      <c r="G30" s="29">
        <f>G27+G28+G29</f>
        <v>-866.6</v>
      </c>
      <c r="H30" s="29">
        <f>H27+H28+H29</f>
        <v>-872.6</v>
      </c>
      <c r="I30" s="29">
        <f>I27+I28+I29</f>
        <v>-895.6</v>
      </c>
      <c r="J30" s="29">
        <f>J27+J28+J29</f>
        <v>-915.6</v>
      </c>
      <c r="K30" s="29">
        <f>K27+K28+K29</f>
        <v>-935.6</v>
      </c>
    </row>
    <row r="32">
      <c r="A32" s="12" t="inlineStr">
        <is>
          <t>筹资活动 Financing activities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</row>
    <row r="33">
      <c r="A33" s="22" t="inlineStr">
        <is>
          <t>吸收投资（母公司层面）</t>
        </is>
      </c>
      <c r="B33" s="20" t="inlineStr">
        <is>
          <t>亿元</t>
        </is>
      </c>
      <c r="C33" s="25">
        <f>111.76312647209998-101.09238802700001</f>
        <v>10.670738445099971</v>
      </c>
      <c r="D33" s="25">
        <f>120.3587552135-119.2940258486</f>
        <v>1.0647293649000034</v>
      </c>
      <c r="E33" s="25">
        <f>409.34007602180003-269.34307612009997</f>
        <v>139.99699990170006</v>
      </c>
      <c r="F33" s="25">
        <f>195.24447228830002-185.24447228830002</f>
        <v>10.0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20" t="inlineStr">
        <is>
          <t>2024A 含 140 亿元定增（社保基金会 120 亿 + 中核集团 20 亿）</t>
        </is>
      </c>
    </row>
    <row r="34">
      <c r="A34" s="22" t="inlineStr">
        <is>
          <t>少数股东注资/资本开支</t>
        </is>
      </c>
      <c r="B34" s="20" t="inlineStr">
        <is>
          <t>%</t>
        </is>
      </c>
      <c r="C34" s="31">
        <f>C35/-C27</f>
        <v>0.2001445402492014</v>
      </c>
      <c r="D34" s="31">
        <f>D35/-D27</f>
        <v>0.17778451546575644</v>
      </c>
      <c r="E34" s="31">
        <f>E35/-E27</f>
        <v>0.29693314125660686</v>
      </c>
      <c r="F34" s="31">
        <f>F35/-F27</f>
        <v>0.19773407177181576</v>
      </c>
      <c r="G34" s="32" t="n">
        <v>0.15</v>
      </c>
      <c r="H34" s="32" t="n">
        <v>0.15</v>
      </c>
      <c r="I34" s="32" t="n">
        <v>0.15</v>
      </c>
      <c r="J34" s="32" t="n">
        <v>0.15</v>
      </c>
      <c r="K34" s="32" t="n">
        <v>0.15</v>
      </c>
      <c r="L34" s="20" t="inlineStr">
        <is>
          <t>合资方按持股比例出资：2024A 29.7% / 2025A 19.8%</t>
        </is>
      </c>
    </row>
    <row r="35">
      <c r="A35" s="22" t="inlineStr">
        <is>
          <t>子公司吸收少数股东投资</t>
        </is>
      </c>
      <c r="B35" s="20" t="inlineStr">
        <is>
          <t>亿元</t>
        </is>
      </c>
      <c r="C35" s="24" t="n">
        <v>101.092388027</v>
      </c>
      <c r="D35" s="24" t="n">
        <v>119.2940258486</v>
      </c>
      <c r="E35" s="24" t="n">
        <v>269.3430761201</v>
      </c>
      <c r="F35" s="24" t="n">
        <v>185.2444722883</v>
      </c>
      <c r="G35" s="23">
        <f>-G27*G34</f>
        <v>127.74</v>
      </c>
      <c r="H35" s="23">
        <f>-H27*H34</f>
        <v>128.64</v>
      </c>
      <c r="I35" s="23">
        <f>-I27*I34</f>
        <v>132.09</v>
      </c>
      <c r="J35" s="23">
        <f>-J27*J34</f>
        <v>135.09</v>
      </c>
      <c r="K35" s="23">
        <f>-K27*K34</f>
        <v>138.09</v>
      </c>
    </row>
    <row r="36">
      <c r="A36" s="22" t="inlineStr">
        <is>
          <t>借款净额（取得−偿还）</t>
        </is>
      </c>
      <c r="B36" s="20" t="inlineStr">
        <is>
          <t>亿元</t>
        </is>
      </c>
      <c r="C36" s="25">
        <f>1171.6124658227-876.4772562478</f>
        <v>295.13520957489993</v>
      </c>
      <c r="D36" s="25">
        <f>1399.874911287-923.5427706697</f>
        <v>476.33214061730007</v>
      </c>
      <c r="E36" s="25">
        <f>1701.424257634-1140.7662032525</f>
        <v>560.6580543815</v>
      </c>
      <c r="F36" s="25">
        <f>1948.272447305-1371.5801507603999</f>
        <v>576.6922965446001</v>
      </c>
      <c r="G36" s="23">
        <f>G52-('Balance Sheet'!F7+G18+G30+G33+G35+G37+G39+G40+G42+G43)</f>
        <v>496.6562245176943</v>
      </c>
      <c r="H36" s="23">
        <f>H52-('Balance Sheet'!G7+H18+H30+H33+H35+H37+H39+H40+H42+H43)</f>
        <v>509.694916896529</v>
      </c>
      <c r="I36" s="23">
        <f>I52-('Balance Sheet'!H7+I18+I30+I33+I35+I37+I39+I40+I42+I43)</f>
        <v>455.55833366415175</v>
      </c>
      <c r="J36" s="23">
        <f>J52-('Balance Sheet'!I7+J18+J30+J33+J35+J37+J39+J40+J42+J43)</f>
        <v>458.2884913737259</v>
      </c>
      <c r="K36" s="23">
        <f>K52-('Balance Sheet'!J7+K18+K30+K33+K35+K37+K39+K40+K42+K43)</f>
        <v>421.5951190747834</v>
      </c>
      <c r="L36" s="20" t="inlineStr">
        <is>
          <t>平衡项：使期末现金=目标现金</t>
        </is>
      </c>
    </row>
    <row r="37">
      <c r="A37" s="22" t="inlineStr">
        <is>
          <t>支付普通股股利</t>
        </is>
      </c>
      <c r="B37" s="20" t="inlineStr">
        <is>
          <t>亿元</t>
        </is>
      </c>
      <c r="G37" s="23">
        <f>-'Income Statement'!F71*'Income Statement'!F77</f>
        <v>-36.9262471162252</v>
      </c>
      <c r="H37" s="23">
        <f>-'Income Statement'!G71*'Income Statement'!G77</f>
        <v>-28.887181624861803</v>
      </c>
      <c r="I37" s="23">
        <f>-'Income Statement'!H71*'Income Statement'!H77</f>
        <v>-32.72956347077001</v>
      </c>
      <c r="J37" s="23">
        <f>-'Income Statement'!I71*'Income Statement'!I77</f>
        <v>-34.36151484044823</v>
      </c>
      <c r="K37" s="23">
        <f>-'Income Statement'!J71*'Income Statement'!J77</f>
        <v>-36.4203613662021</v>
      </c>
      <c r="L37" s="20" t="inlineStr">
        <is>
          <t>按上年归属普通股净利润×分红率（次年支付）</t>
        </is>
      </c>
    </row>
    <row r="38">
      <c r="A38" s="22" t="inlineStr">
        <is>
          <t>少数股东分红/少数股东损益</t>
        </is>
      </c>
      <c r="B38" s="20" t="inlineStr">
        <is>
          <t>%</t>
        </is>
      </c>
      <c r="G38" s="32" t="n">
        <v>0.8</v>
      </c>
      <c r="H38" s="32" t="n">
        <v>0.8</v>
      </c>
      <c r="I38" s="32" t="n">
        <v>0.8</v>
      </c>
      <c r="J38" s="32" t="n">
        <v>0.8</v>
      </c>
      <c r="K38" s="32" t="n">
        <v>0.8</v>
      </c>
      <c r="L38" s="20" t="inlineStr">
        <is>
          <t>2025A 72.87/86.66=84%</t>
        </is>
      </c>
    </row>
    <row r="39">
      <c r="A39" s="22" t="inlineStr">
        <is>
          <t>支付少数股东股利</t>
        </is>
      </c>
      <c r="B39" s="20" t="inlineStr">
        <is>
          <t>亿元</t>
        </is>
      </c>
      <c r="C39" s="24" t="n">
        <v>-56.6771777147</v>
      </c>
      <c r="D39" s="24" t="n">
        <v>-69.00776533</v>
      </c>
      <c r="E39" s="24" t="n">
        <v>-69.5124885594</v>
      </c>
      <c r="F39" s="24" t="n">
        <v>-72.868489598</v>
      </c>
      <c r="G39" s="23">
        <f>-'Income Statement'!G67*G38</f>
        <v>-54.606708691487285</v>
      </c>
      <c r="H39" s="23">
        <f>-'Income Statement'!H67*H38</f>
        <v>-61.84381624591632</v>
      </c>
      <c r="I39" s="23">
        <f>-'Income Statement'!I67*I38</f>
        <v>-64.91758872861122</v>
      </c>
      <c r="J39" s="23">
        <f>-'Income Statement'!J67*J38</f>
        <v>-68.79541616546803</v>
      </c>
      <c r="K39" s="23">
        <f>-'Income Statement'!K67*K38</f>
        <v>-73.5244664609665</v>
      </c>
    </row>
    <row r="40">
      <c r="A40" s="22" t="inlineStr">
        <is>
          <t>偿付利息（=财务费用）</t>
        </is>
      </c>
      <c r="B40" s="20" t="inlineStr">
        <is>
          <t>亿元</t>
        </is>
      </c>
      <c r="G40" s="23">
        <f>-'Income Statement'!G48</f>
        <v>-73.75858629359361</v>
      </c>
      <c r="H40" s="23">
        <f>-'Income Statement'!H48</f>
        <v>-75.00867589778117</v>
      </c>
      <c r="I40" s="23">
        <f>-'Income Statement'!I48</f>
        <v>-86.40522103760786</v>
      </c>
      <c r="J40" s="23">
        <f>-'Income Statement'!J48</f>
        <v>-92.03274310007347</v>
      </c>
      <c r="K40" s="23">
        <f>-'Income Statement'!K48</f>
        <v>-99.25216512005262</v>
      </c>
    </row>
    <row r="41">
      <c r="A41" s="22" t="inlineStr">
        <is>
          <t xml:space="preserve">    历史：分配股利、利润或偿付利息（含少数股东）</t>
        </is>
      </c>
      <c r="B41" s="20" t="inlineStr">
        <is>
          <t>亿元</t>
        </is>
      </c>
      <c r="C41" s="24" t="n">
        <v>-223.1461987052</v>
      </c>
      <c r="D41" s="24" t="n">
        <v>-202.5029155681</v>
      </c>
      <c r="E41" s="24" t="n">
        <v>-219.3749477394</v>
      </c>
      <c r="F41" s="24" t="n">
        <v>-209.2551534204</v>
      </c>
      <c r="L41" s="20" t="inlineStr">
        <is>
          <t>历史期报表合并列示，预测期拆分为上面三行；本行不参与预测期合计</t>
        </is>
      </c>
    </row>
    <row r="42">
      <c r="A42" s="22" t="inlineStr">
        <is>
          <t>永续债分配</t>
        </is>
      </c>
      <c r="B42" s="20" t="inlineStr">
        <is>
          <t>亿元</t>
        </is>
      </c>
      <c r="G42" s="23">
        <f>-'Income Statement'!G70</f>
        <v>-0.2626</v>
      </c>
      <c r="H42" s="23">
        <f>-'Income Statement'!H70</f>
        <v>-0.2626</v>
      </c>
      <c r="I42" s="23">
        <f>-'Income Statement'!I70</f>
        <v>-0.2626</v>
      </c>
      <c r="J42" s="23">
        <f>-'Income Statement'!J70</f>
        <v>-0.2626</v>
      </c>
      <c r="K42" s="23">
        <f>-'Income Statement'!K70</f>
        <v>-0.2626</v>
      </c>
    </row>
    <row r="43">
      <c r="A43" s="22" t="inlineStr">
        <is>
          <t>其他筹资活动净额</t>
        </is>
      </c>
      <c r="B43" s="20" t="inlineStr">
        <is>
          <t>亿元</t>
        </is>
      </c>
      <c r="C43" s="25">
        <f>C44-C33-C35-C36-C41</f>
        <v>-89.39265178449995</v>
      </c>
      <c r="D43" s="25">
        <f>D44-D33-D35-D36-D41</f>
        <v>-170.86728380090003</v>
      </c>
      <c r="E43" s="25">
        <f>E44-E33-E35-E36-E41</f>
        <v>-105.72687692090005</v>
      </c>
      <c r="F43" s="25">
        <f>F44-F33-F35-F36-F41</f>
        <v>-32.28155703110019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</row>
    <row r="44">
      <c r="A44" s="21" t="inlineStr">
        <is>
          <t>筹资活动现金流量净额 CFF</t>
        </is>
      </c>
      <c r="B44" s="20" t="inlineStr">
        <is>
          <t>亿元</t>
        </is>
      </c>
      <c r="C44" s="30" t="n">
        <v>94.35948555729999</v>
      </c>
      <c r="D44" s="30" t="n">
        <v>223.3206964618</v>
      </c>
      <c r="E44" s="30" t="n">
        <v>644.8963057430001</v>
      </c>
      <c r="F44" s="30" t="n">
        <v>530.4000583814</v>
      </c>
      <c r="G44" s="29">
        <f>G33+G35+G36+G37+G39+G40+G42+G43</f>
        <v>458.8420824163881</v>
      </c>
      <c r="H44" s="29">
        <f>H33+H35+H36+H37+H39+H40+H42+H43</f>
        <v>472.3326431279697</v>
      </c>
      <c r="I44" s="29">
        <f>I33+I35+I36+I37+I39+I40+I42+I43</f>
        <v>403.33336042716263</v>
      </c>
      <c r="J44" s="29">
        <f>J33+J35+J36+J37+J39+J40+J42+J43</f>
        <v>397.9262172677361</v>
      </c>
      <c r="K44" s="29">
        <f>K33+K35+K36+K37+K39+K40+K42+K43</f>
        <v>350.2255261275622</v>
      </c>
    </row>
    <row r="46">
      <c r="A46" s="12" t="inlineStr">
        <is>
          <t>现金 Cash</t>
        </is>
      </c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</row>
    <row r="47">
      <c r="A47" s="22" t="inlineStr">
        <is>
          <t>汇率变动影响</t>
        </is>
      </c>
      <c r="B47" s="20" t="inlineStr">
        <is>
          <t>亿元</t>
        </is>
      </c>
      <c r="C47" s="24" t="n">
        <v>-0.06603672940000001</v>
      </c>
      <c r="D47" s="24" t="n">
        <v>-0.09322432630000001</v>
      </c>
      <c r="E47" s="24" t="n">
        <v>-0.1811467015</v>
      </c>
      <c r="F47" s="24" t="n">
        <v>-0.0811813134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</row>
    <row r="48">
      <c r="A48" s="21" t="inlineStr">
        <is>
          <t>现金净增加额</t>
        </is>
      </c>
      <c r="B48" s="20" t="inlineStr">
        <is>
          <t>亿元</t>
        </is>
      </c>
      <c r="C48" s="30" t="n">
        <v>31.1868175725</v>
      </c>
      <c r="D48" s="30" t="n">
        <v>-62.627118282</v>
      </c>
      <c r="E48" s="30" t="n">
        <v>102.4739833206</v>
      </c>
      <c r="F48" s="30" t="n">
        <v>-42.3821865196</v>
      </c>
      <c r="G48" s="29">
        <f>G18+G30+G44+G47</f>
        <v>-10.47953653987554</v>
      </c>
      <c r="H48" s="29">
        <f>H18+H30+H44+H47</f>
        <v>18.231770462171824</v>
      </c>
      <c r="I48" s="29">
        <f>I18+I30+I44+I47</f>
        <v>19.07264014596143</v>
      </c>
      <c r="J48" s="29">
        <f>J18+J30+J44+J47</f>
        <v>14.66092828399519</v>
      </c>
      <c r="K48" s="29">
        <f>K18+K30+K44+K47</f>
        <v>13.707555245177957</v>
      </c>
    </row>
    <row r="49">
      <c r="A49" s="22" t="inlineStr">
        <is>
          <t>期初现金</t>
        </is>
      </c>
      <c r="B49" s="20" t="inlineStr">
        <is>
          <t>亿元</t>
        </is>
      </c>
      <c r="C49" s="24" t="n">
        <v>124.6673699862</v>
      </c>
      <c r="D49" s="24" t="n">
        <v>155.8541875587</v>
      </c>
      <c r="E49" s="24" t="n">
        <v>93.22706927670001</v>
      </c>
      <c r="F49" s="24" t="n">
        <v>195.7010525973</v>
      </c>
      <c r="G49" s="41">
        <f>'Balance Sheet'!F7</f>
        <v>155.8164274658</v>
      </c>
      <c r="H49" s="41">
        <f>'Balance Sheet'!G7</f>
        <v>145.33689092592445</v>
      </c>
      <c r="I49" s="41">
        <f>'Balance Sheet'!H7</f>
        <v>163.56866138809627</v>
      </c>
      <c r="J49" s="41">
        <f>'Balance Sheet'!I7</f>
        <v>182.6413015340577</v>
      </c>
      <c r="K49" s="41">
        <f>'Balance Sheet'!J7</f>
        <v>197.3022298180529</v>
      </c>
      <c r="L49" s="20" t="inlineStr">
        <is>
          <t>预测期以资产负债表货币资金为口径（含少量受限资金）</t>
        </is>
      </c>
    </row>
    <row r="50">
      <c r="A50" s="21" t="inlineStr">
        <is>
          <t>期末现金</t>
        </is>
      </c>
      <c r="B50" s="20" t="inlineStr">
        <is>
          <t>亿元</t>
        </is>
      </c>
      <c r="C50" s="30" t="n">
        <v>155.8541875587</v>
      </c>
      <c r="D50" s="30" t="n">
        <v>93.22706927670001</v>
      </c>
      <c r="E50" s="30" t="n">
        <v>195.7010525973</v>
      </c>
      <c r="F50" s="30" t="n">
        <v>153.3188660777</v>
      </c>
      <c r="G50" s="29">
        <f>G49+G48</f>
        <v>145.33689092592445</v>
      </c>
      <c r="H50" s="29">
        <f>H49+H48</f>
        <v>163.56866138809627</v>
      </c>
      <c r="I50" s="29">
        <f>I49+I48</f>
        <v>182.6413015340577</v>
      </c>
      <c r="J50" s="29">
        <f>J49+J48</f>
        <v>197.3022298180529</v>
      </c>
      <c r="K50" s="29">
        <f>K49+K48</f>
        <v>211.00978506323085</v>
      </c>
    </row>
    <row r="51">
      <c r="A51" s="22" t="inlineStr">
        <is>
          <t>目标现金/营业收入</t>
        </is>
      </c>
      <c r="B51" s="20" t="inlineStr">
        <is>
          <t>%</t>
        </is>
      </c>
      <c r="G51" s="32" t="n">
        <v>0.18</v>
      </c>
      <c r="H51" s="32" t="n">
        <v>0.18</v>
      </c>
      <c r="I51" s="32" t="n">
        <v>0.18</v>
      </c>
      <c r="J51" s="32" t="n">
        <v>0.18</v>
      </c>
      <c r="K51" s="32" t="n">
        <v>0.18</v>
      </c>
      <c r="L51" s="20" t="inlineStr">
        <is>
          <t>2025A 19.0%</t>
        </is>
      </c>
    </row>
    <row r="52">
      <c r="A52" s="22" t="inlineStr">
        <is>
          <t>目标现金余额</t>
        </is>
      </c>
      <c r="B52" s="20" t="inlineStr">
        <is>
          <t>亿元</t>
        </is>
      </c>
      <c r="G52" s="23">
        <f>'Income Statement'!G7*G51</f>
        <v>145.33689092592454</v>
      </c>
      <c r="H52" s="23">
        <f>'Income Statement'!H7*H51</f>
        <v>163.56866138809622</v>
      </c>
      <c r="I52" s="23">
        <f>'Income Statement'!I7*I51</f>
        <v>182.64130153405776</v>
      </c>
      <c r="J52" s="23">
        <f>'Income Statement'!J7*J51</f>
        <v>197.30222981805292</v>
      </c>
      <c r="K52" s="23">
        <f>'Income Statement'!K7*K51</f>
        <v>211.0097850632308</v>
      </c>
    </row>
    <row r="54">
      <c r="A54" s="12" t="inlineStr">
        <is>
          <t>自由现金流 Free cash flow</t>
        </is>
      </c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21" t="inlineStr">
        <is>
          <t>FCF（CFO+资本开支）</t>
        </is>
      </c>
      <c r="B55" s="20" t="inlineStr">
        <is>
          <t>亿元</t>
        </is>
      </c>
      <c r="C55" s="28">
        <f>C18+C27</f>
        <v>-38.11873131830009</v>
      </c>
      <c r="D55" s="28">
        <f>D18+D27</f>
        <v>-239.7427135000999</v>
      </c>
      <c r="E55" s="28">
        <f>E18+E27</f>
        <v>-499.87791125150005</v>
      </c>
      <c r="F55" s="28">
        <f>F18+F27</f>
        <v>-562.7524127658</v>
      </c>
      <c r="G55" s="29">
        <f>G18+G27</f>
        <v>-454.32161895626365</v>
      </c>
      <c r="H55" s="29">
        <f>H18+H27</f>
        <v>-439.10087266579785</v>
      </c>
      <c r="I55" s="29">
        <f>I18+I27</f>
        <v>-369.2607202812012</v>
      </c>
      <c r="J55" s="29">
        <f>J18+J27</f>
        <v>-368.2652889837409</v>
      </c>
      <c r="K55" s="29">
        <f>K18+K27</f>
        <v>-321.51797088238425</v>
      </c>
    </row>
    <row r="56">
      <c r="A56" s="22" t="inlineStr">
        <is>
          <t xml:space="preserve">  FCF/营业收入</t>
        </is>
      </c>
      <c r="B56" s="20" t="inlineStr">
        <is>
          <t>%</t>
        </is>
      </c>
      <c r="C56" s="31">
        <f>C55/'Income Statement'!C7</f>
        <v>-0.053473255281821744</v>
      </c>
      <c r="D56" s="31">
        <f>D55/'Income Statement'!D7</f>
        <v>-0.31983955726810026</v>
      </c>
      <c r="E56" s="31">
        <f>E55/'Income Statement'!E7</f>
        <v>-0.6469064248872886</v>
      </c>
      <c r="F56" s="31">
        <f>F55/'Income Statement'!F7</f>
        <v>-0.68565216827056</v>
      </c>
      <c r="G56" s="36">
        <f>G55/'Income Statement'!G7</f>
        <v>-0.5626781396734852</v>
      </c>
      <c r="H56" s="36">
        <f>H55/'Income Statement'!H7</f>
        <v>-0.4832108816511697</v>
      </c>
      <c r="I56" s="36">
        <f>I55/'Income Statement'!I7</f>
        <v>-0.36392058692278806</v>
      </c>
      <c r="J56" s="36">
        <f>J55/'Income Statement'!J7</f>
        <v>-0.3359706176569937</v>
      </c>
      <c r="K56" s="36">
        <f>K55/'Income Statement'!K7</f>
        <v>-0.2742680143552915</v>
      </c>
    </row>
    <row r="57">
      <c r="A57" s="22" t="inlineStr">
        <is>
          <t xml:space="preserve">  资本开支/营业收入</t>
        </is>
      </c>
      <c r="B57" s="20" t="inlineStr">
        <is>
          <t>%</t>
        </is>
      </c>
      <c r="C57" s="31">
        <f>-C27/'Income Statement'!C7</f>
        <v>0.7085539014808824</v>
      </c>
      <c r="D57" s="31">
        <f>-D27/'Income Statement'!D7</f>
        <v>0.8951823725680778</v>
      </c>
      <c r="E57" s="31">
        <f>-E27/'Income Statement'!E7</f>
        <v>1.1738825886842108</v>
      </c>
      <c r="F57" s="31">
        <f>-F27/'Income Statement'!F7</f>
        <v>1.1414325051041863</v>
      </c>
      <c r="G57" s="36">
        <f>-G27/'Income Statement'!G7</f>
        <v>1.054708126914095</v>
      </c>
      <c r="H57" s="36">
        <f>-H27/'Income Statement'!H7</f>
        <v>0.9437504635055612</v>
      </c>
      <c r="I57" s="36">
        <f>-I27/'Income Statement'!I7</f>
        <v>0.8678650374731504</v>
      </c>
      <c r="J57" s="36">
        <f>-J27/'Income Statement'!J7</f>
        <v>0.8216227467347523</v>
      </c>
      <c r="K57" s="36">
        <f>-K27/'Income Statement'!K7</f>
        <v>0.7853095530633531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L8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60" customWidth="1" min="12" max="12"/>
  </cols>
  <sheetData>
    <row r="1">
      <c r="A1" s="6" t="inlineStr">
        <is>
          <t>资产负债表 Balance Sheet（合并口径，年末）</t>
        </is>
      </c>
    </row>
    <row r="2">
      <c r="A2" s="7" t="inlineStr">
        <is>
          <t>单位：亿元人民币（另有注明除外）｜蓝色=硬编码输入　黑色=公式　绿色=跨表链接｜A=实际 E=预测</t>
        </is>
      </c>
    </row>
    <row r="3">
      <c r="A3" s="8" t="inlineStr">
        <is>
          <t>项目 / Line item</t>
        </is>
      </c>
      <c r="B3" s="9" t="inlineStr">
        <is>
          <t>单位</t>
        </is>
      </c>
      <c r="C3" s="10" t="n">
        <v>2022</v>
      </c>
      <c r="D3" s="10" t="n">
        <v>2023</v>
      </c>
      <c r="E3" s="10" t="n">
        <v>2024</v>
      </c>
      <c r="F3" s="10" t="n">
        <v>2025</v>
      </c>
      <c r="G3" s="11" t="n">
        <v>2026</v>
      </c>
      <c r="H3" s="11" t="n">
        <v>2027</v>
      </c>
      <c r="I3" s="11" t="n">
        <v>2028</v>
      </c>
      <c r="J3" s="11" t="n">
        <v>2029</v>
      </c>
      <c r="K3" s="11" t="n">
        <v>2030</v>
      </c>
      <c r="L3" s="9" t="inlineStr">
        <is>
          <t>来源 / 说明</t>
        </is>
      </c>
    </row>
    <row r="6">
      <c r="A6" s="12" t="inlineStr">
        <is>
          <t>流动资产 Current assets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</row>
    <row r="7">
      <c r="A7" s="22" t="inlineStr">
        <is>
          <t>货币资金</t>
        </is>
      </c>
      <c r="B7" s="20" t="inlineStr">
        <is>
          <t>亿元</t>
        </is>
      </c>
      <c r="C7" s="24" t="n">
        <v>161.6167150214</v>
      </c>
      <c r="D7" s="24" t="n">
        <v>97.73819118860001</v>
      </c>
      <c r="E7" s="24" t="n">
        <v>197.3801743885</v>
      </c>
      <c r="F7" s="24" t="n">
        <v>155.8164274658</v>
      </c>
      <c r="G7" s="41">
        <f>'Cash Flow'!G50</f>
        <v>145.33689092592445</v>
      </c>
      <c r="H7" s="41">
        <f>'Cash Flow'!H50</f>
        <v>163.56866138809627</v>
      </c>
      <c r="I7" s="41">
        <f>'Cash Flow'!I50</f>
        <v>182.6413015340577</v>
      </c>
      <c r="J7" s="41">
        <f>'Cash Flow'!J50</f>
        <v>197.3022298180529</v>
      </c>
      <c r="K7" s="41">
        <f>'Cash Flow'!K50</f>
        <v>211.00978506323085</v>
      </c>
      <c r="L7" s="20" t="inlineStr">
        <is>
          <t>预测=现金流量表期末现金（借款为平衡项）</t>
        </is>
      </c>
    </row>
    <row r="8">
      <c r="A8" s="22" t="inlineStr">
        <is>
          <t>应收账款周转天数（期末/收入×365）</t>
        </is>
      </c>
      <c r="B8" s="20" t="inlineStr">
        <is>
          <t>天</t>
        </is>
      </c>
      <c r="C8" s="53">
        <f>C9/'Income Statement'!C7*365</f>
        <v>88.124154451671</v>
      </c>
      <c r="D8" s="53">
        <f>D9/'Income Statement'!D7*365</f>
        <v>104.03672639753962</v>
      </c>
      <c r="E8" s="53">
        <f>E9/'Income Statement'!E7*365</f>
        <v>116.44048450610936</v>
      </c>
      <c r="F8" s="53">
        <f>F9/'Income Statement'!F7*365</f>
        <v>112.83790119609519</v>
      </c>
      <c r="G8" s="54" t="n">
        <v>110</v>
      </c>
      <c r="H8" s="54" t="n">
        <v>110</v>
      </c>
      <c r="I8" s="54" t="n">
        <v>110</v>
      </c>
      <c r="J8" s="54" t="n">
        <v>110</v>
      </c>
      <c r="K8" s="54" t="n">
        <v>110</v>
      </c>
      <c r="L8" s="20" t="inlineStr">
        <is>
          <t>2025A 112.8 天；含可再生能源补贴应收</t>
        </is>
      </c>
    </row>
    <row r="9">
      <c r="A9" s="22" t="inlineStr">
        <is>
          <t>应收账款</t>
        </is>
      </c>
      <c r="B9" s="20" t="inlineStr">
        <is>
          <t>亿元</t>
        </is>
      </c>
      <c r="C9" s="24" t="n">
        <v>172.1091314774</v>
      </c>
      <c r="D9" s="24" t="n">
        <v>213.6520453358</v>
      </c>
      <c r="E9" s="24" t="n">
        <v>246.5094776336</v>
      </c>
      <c r="F9" s="24" t="n">
        <v>253.7322362485</v>
      </c>
      <c r="G9" s="23">
        <f>'Income Statement'!G7*G8/365</f>
        <v>243.33421616212632</v>
      </c>
      <c r="H9" s="23">
        <f>'Income Statement'!H7*H8/365</f>
        <v>273.85925042147005</v>
      </c>
      <c r="I9" s="23">
        <f>'Income Statement'!I7*I8/365</f>
        <v>305.792133466459</v>
      </c>
      <c r="J9" s="23">
        <f>'Income Statement'!J7*J8/365</f>
        <v>330.33858873646614</v>
      </c>
      <c r="K9" s="23">
        <f>'Income Statement'!K7*K8/365</f>
        <v>353.2888334391992</v>
      </c>
    </row>
    <row r="10">
      <c r="A10" s="22" t="inlineStr">
        <is>
          <t>预付款项/收入</t>
        </is>
      </c>
      <c r="B10" s="20" t="inlineStr">
        <is>
          <t>%</t>
        </is>
      </c>
      <c r="C10" s="31">
        <f>C11/'Income Statement'!C7</f>
        <v>0.03919303640574235</v>
      </c>
      <c r="D10" s="31">
        <f>D11/'Income Statement'!D7</f>
        <v>0.06463903857326596</v>
      </c>
      <c r="E10" s="31">
        <f>E11/'Income Statement'!E7</f>
        <v>0.035503402491007655</v>
      </c>
      <c r="F10" s="31">
        <f>F11/'Income Statement'!F7</f>
        <v>0.032850903488345344</v>
      </c>
      <c r="G10" s="32" t="n">
        <v>0.033</v>
      </c>
      <c r="H10" s="32" t="n">
        <v>0.033</v>
      </c>
      <c r="I10" s="32" t="n">
        <v>0.033</v>
      </c>
      <c r="J10" s="32" t="n">
        <v>0.033</v>
      </c>
      <c r="K10" s="32" t="n">
        <v>0.033</v>
      </c>
    </row>
    <row r="11">
      <c r="A11" s="22" t="inlineStr">
        <is>
          <t>预付款项</t>
        </is>
      </c>
      <c r="B11" s="20" t="inlineStr">
        <is>
          <t>亿元</t>
        </is>
      </c>
      <c r="C11" s="24" t="n">
        <v>27.9389914907</v>
      </c>
      <c r="D11" s="24" t="n">
        <v>48.4516006649</v>
      </c>
      <c r="E11" s="24" t="n">
        <v>27.4342099518</v>
      </c>
      <c r="F11" s="24" t="n">
        <v>26.9625417305</v>
      </c>
      <c r="G11" s="23">
        <f>'Income Statement'!G7*G10</f>
        <v>26.645096669752835</v>
      </c>
      <c r="H11" s="23">
        <f>'Income Statement'!H7*H10</f>
        <v>29.987587921150975</v>
      </c>
      <c r="I11" s="23">
        <f>'Income Statement'!I7*I10</f>
        <v>33.48423861457726</v>
      </c>
      <c r="J11" s="23">
        <f>'Income Statement'!J7*J10</f>
        <v>36.17207546664304</v>
      </c>
      <c r="K11" s="23">
        <f>'Income Statement'!K7*K10</f>
        <v>38.685127261592314</v>
      </c>
    </row>
    <row r="12">
      <c r="A12" s="22" t="inlineStr">
        <is>
          <t>存货/核电年末装机</t>
        </is>
      </c>
      <c r="B12" s="20" t="inlineStr">
        <is>
          <t>元/kW</t>
        </is>
      </c>
      <c r="C12" s="55">
        <f>C13*10000/'Revenue Model'!C41</f>
        <v>1044.5990654433683</v>
      </c>
      <c r="D12" s="55">
        <f>D13*10000/'Revenue Model'!D41</f>
        <v>1112.531078848</v>
      </c>
      <c r="E12" s="55">
        <f>E13*10000/'Revenue Model'!E41</f>
        <v>1299.3707759861052</v>
      </c>
      <c r="F12" s="55">
        <f>F13*10000/'Revenue Model'!F41</f>
        <v>1452.8662392048</v>
      </c>
      <c r="G12" s="18" t="n">
        <v>1450</v>
      </c>
      <c r="H12" s="18" t="n">
        <v>1450</v>
      </c>
      <c r="I12" s="18" t="n">
        <v>1450</v>
      </c>
      <c r="J12" s="18" t="n">
        <v>1450</v>
      </c>
      <c r="K12" s="18" t="n">
        <v>1450</v>
      </c>
      <c r="L12" s="20" t="inlineStr">
        <is>
          <t>存货主要为核燃料（含新机组首炉料）；2025A 1,453 元/kW</t>
        </is>
      </c>
    </row>
    <row r="13">
      <c r="A13" s="22" t="inlineStr">
        <is>
          <t>存货</t>
        </is>
      </c>
      <c r="B13" s="20" t="inlineStr">
        <is>
          <t>亿元</t>
        </is>
      </c>
      <c r="C13" s="24" t="n">
        <v>248.0922780428</v>
      </c>
      <c r="D13" s="24" t="n">
        <v>264.2261312264</v>
      </c>
      <c r="E13" s="24" t="n">
        <v>308.6005592967</v>
      </c>
      <c r="F13" s="24" t="n">
        <v>363.2165598012</v>
      </c>
      <c r="G13" s="23">
        <f>'Revenue Model'!G41*G12/10000</f>
        <v>400.22900000000004</v>
      </c>
      <c r="H13" s="23">
        <f>'Revenue Model'!H41*H12/10000</f>
        <v>473.3235</v>
      </c>
      <c r="I13" s="23">
        <f>'Revenue Model'!I41*I12/10000</f>
        <v>510.516</v>
      </c>
      <c r="J13" s="23">
        <f>'Revenue Model'!J41*J12/10000</f>
        <v>564.3835</v>
      </c>
      <c r="K13" s="23">
        <f>'Revenue Model'!K41*K12/10000</f>
        <v>582.001</v>
      </c>
    </row>
    <row r="14">
      <c r="A14" s="22" t="inlineStr">
        <is>
          <t>其他流动资产项目（票据、其他应收、合同资产、其他流动资产等）</t>
        </is>
      </c>
      <c r="B14" s="20" t="inlineStr">
        <is>
          <t>亿元</t>
        </is>
      </c>
      <c r="C14" s="25">
        <f>C64-C7-C9-C11-C13</f>
        <v>47.84705257339999</v>
      </c>
      <c r="D14" s="25">
        <f>D64-D7-D9-D11-D13</f>
        <v>58.33535886029995</v>
      </c>
      <c r="E14" s="25">
        <f>E64-E7-E9-E11-E13</f>
        <v>61.89235930250004</v>
      </c>
      <c r="F14" s="25">
        <f>F64-F7-F9-F11-F13</f>
        <v>61.04651570890013</v>
      </c>
      <c r="G14" s="23">
        <f>F14</f>
        <v>61.04651570890013</v>
      </c>
      <c r="H14" s="23">
        <f>G14</f>
        <v>61.04651570890013</v>
      </c>
      <c r="I14" s="23">
        <f>H14</f>
        <v>61.04651570890013</v>
      </c>
      <c r="J14" s="23">
        <f>I14</f>
        <v>61.04651570890013</v>
      </c>
      <c r="K14" s="23">
        <f>J14</f>
        <v>61.04651570890013</v>
      </c>
    </row>
    <row r="15">
      <c r="A15" s="21" t="inlineStr">
        <is>
          <t>流动资产合计</t>
        </is>
      </c>
      <c r="B15" s="20" t="inlineStr">
        <is>
          <t>亿元</t>
        </is>
      </c>
      <c r="C15" s="28">
        <f>C7+C9+C11+C13+C14</f>
        <v>657.6041686057</v>
      </c>
      <c r="D15" s="28">
        <f>D7+D9+D11+D13+D14</f>
        <v>682.403327276</v>
      </c>
      <c r="E15" s="28">
        <f>E7+E9+E11+E13+E14</f>
        <v>841.8167805731</v>
      </c>
      <c r="F15" s="28">
        <f>F7+F9+F11+F13+F14</f>
        <v>860.7742809549002</v>
      </c>
      <c r="G15" s="29">
        <f>G7+G9+G11+G13+G14</f>
        <v>876.5917194667038</v>
      </c>
      <c r="H15" s="29">
        <f>H7+H9+H11+H13+H14</f>
        <v>1001.7855154396175</v>
      </c>
      <c r="I15" s="29">
        <f>I7+I9+I11+I13+I14</f>
        <v>1093.4801893239942</v>
      </c>
      <c r="J15" s="29">
        <f>J7+J9+J11+J13+J14</f>
        <v>1189.2429097300624</v>
      </c>
      <c r="K15" s="29">
        <f>K7+K9+K11+K13+K14</f>
        <v>1246.0312614729226</v>
      </c>
    </row>
    <row r="17">
      <c r="A17" s="12" t="inlineStr">
        <is>
          <t>非流动资产 Non-current assets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</row>
    <row r="18">
      <c r="A18" s="22" t="inlineStr">
        <is>
          <t>长期股权投资</t>
        </is>
      </c>
      <c r="B18" s="20" t="inlineStr">
        <is>
          <t>亿元</t>
        </is>
      </c>
      <c r="C18" s="24" t="n">
        <v>56.8458893969</v>
      </c>
      <c r="D18" s="24" t="n">
        <v>75.7996190273</v>
      </c>
      <c r="E18" s="24" t="n">
        <v>84.1116302419</v>
      </c>
      <c r="F18" s="24" t="n">
        <v>103.8528852432</v>
      </c>
      <c r="G18" s="23">
        <f>F18+'Cash Flow'!G28*-1+'Income Statement'!G52*(1-'Cash Flow'!G13)</f>
        <v>120.30760022210251</v>
      </c>
      <c r="H18" s="23">
        <f>G18+'Cash Flow'!H28*-1+'Income Statement'!H52*(1-'Cash Flow'!H13)</f>
        <v>136.83505094995013</v>
      </c>
      <c r="I18" s="23">
        <f>H18+'Cash Flow'!I28*-1+'Income Statement'!I52*(1-'Cash Flow'!I13)</f>
        <v>153.43887421419015</v>
      </c>
      <c r="J18" s="23">
        <f>I18+'Cash Flow'!J28*-1+'Income Statement'!J52*(1-'Cash Flow'!J13)</f>
        <v>170.12288864164216</v>
      </c>
      <c r="K18" s="23">
        <f>J18+'Cash Flow'!K28*-1+'Income Statement'!K52*(1-'Cash Flow'!K13)</f>
        <v>186.89110379046676</v>
      </c>
    </row>
    <row r="19">
      <c r="A19" s="22" t="inlineStr">
        <is>
          <t>固定资产</t>
        </is>
      </c>
      <c r="B19" s="20" t="inlineStr">
        <is>
          <t>亿元</t>
        </is>
      </c>
      <c r="C19" s="24" t="n">
        <v>2690.3165482412</v>
      </c>
      <c r="D19" s="24" t="n">
        <v>2769.2238240811</v>
      </c>
      <c r="E19" s="24" t="n">
        <v>2992.3682533671</v>
      </c>
      <c r="F19" s="24" t="n">
        <v>3520.1640201466</v>
      </c>
      <c r="G19" s="23">
        <f>F19+G74-G76+'Income Statement'!G56+'Income Statement'!G55</f>
        <v>3731.4144282157845</v>
      </c>
      <c r="H19" s="23">
        <f>G19+H74-H76+'Income Statement'!H56+'Income Statement'!H55</f>
        <v>4569.365592956053</v>
      </c>
      <c r="I19" s="23">
        <f>H19+I74-I76+'Income Statement'!I56+'Income Statement'!I55</f>
        <v>4845.570525996645</v>
      </c>
      <c r="J19" s="23">
        <f>I19+J74-J76+'Income Statement'!J56+'Income Statement'!J55</f>
        <v>5239.509610547843</v>
      </c>
      <c r="K19" s="23">
        <f>J19+K74-K76+'Income Statement'!K56+'Income Statement'!K55</f>
        <v>5230.07704475052</v>
      </c>
      <c r="L19" s="20" t="inlineStr">
        <is>
          <t>减值（含信用减值，简化处理）冲减固定资产</t>
        </is>
      </c>
    </row>
    <row r="20">
      <c r="A20" s="22" t="inlineStr">
        <is>
          <t>在建工程</t>
        </is>
      </c>
      <c r="B20" s="20" t="inlineStr">
        <is>
          <t>亿元</t>
        </is>
      </c>
      <c r="C20" s="24" t="n">
        <v>1015.1364874131</v>
      </c>
      <c r="D20" s="24" t="n">
        <v>1535.748446497</v>
      </c>
      <c r="E20" s="24" t="n">
        <v>2157.6575229172</v>
      </c>
      <c r="F20" s="24" t="n">
        <v>2400.790344816</v>
      </c>
      <c r="G20" s="23">
        <f>F20+'Cash Flow'!G22*-1-G73</f>
        <v>2810.001194816</v>
      </c>
      <c r="H20" s="23">
        <f>G20+'Cash Flow'!H22*-1-H73</f>
        <v>2573.387384816</v>
      </c>
      <c r="I20" s="23">
        <f>H20+'Cash Flow'!I22*-1-I73</f>
        <v>2880.720334816</v>
      </c>
      <c r="J20" s="23">
        <f>I20+'Cash Flow'!J22*-1-J73</f>
        <v>3073.168964816</v>
      </c>
      <c r="K20" s="23">
        <f>J20+'Cash Flow'!K22*-1-K73</f>
        <v>3670.301514816</v>
      </c>
    </row>
    <row r="21">
      <c r="A21" s="22" t="inlineStr">
        <is>
          <t>使用权资产</t>
        </is>
      </c>
      <c r="B21" s="20" t="inlineStr">
        <is>
          <t>亿元</t>
        </is>
      </c>
      <c r="C21" s="24" t="n">
        <v>36.6543793897</v>
      </c>
      <c r="D21" s="24" t="n">
        <v>53.9314209913</v>
      </c>
      <c r="E21" s="24" t="n">
        <v>75.1942891944</v>
      </c>
      <c r="F21" s="24" t="n">
        <v>65.0565535394</v>
      </c>
      <c r="G21" s="23">
        <f>F21</f>
        <v>65.0565535394</v>
      </c>
      <c r="H21" s="23">
        <f>G21</f>
        <v>65.0565535394</v>
      </c>
      <c r="I21" s="23">
        <f>H21</f>
        <v>65.0565535394</v>
      </c>
      <c r="J21" s="23">
        <f>I21</f>
        <v>65.0565535394</v>
      </c>
      <c r="K21" s="23">
        <f>J21</f>
        <v>65.0565535394</v>
      </c>
    </row>
    <row r="22">
      <c r="A22" s="22" t="inlineStr">
        <is>
          <t>无形资产及开发支出</t>
        </is>
      </c>
      <c r="B22" s="20" t="inlineStr">
        <is>
          <t>亿元</t>
        </is>
      </c>
      <c r="C22" s="25">
        <f>21.3415446971+10.1131972989</f>
        <v>31.454741996000003</v>
      </c>
      <c r="D22" s="25">
        <f>27.3593504756+10.6744070449</f>
        <v>38.033757520500004</v>
      </c>
      <c r="E22" s="25">
        <f>61.6184069488+12.552001311</f>
        <v>74.1704082598</v>
      </c>
      <c r="F22" s="25">
        <f>76.7969866952+17.0364609441</f>
        <v>93.8334476393</v>
      </c>
      <c r="G22" s="23">
        <f>F22</f>
        <v>93.8334476393</v>
      </c>
      <c r="H22" s="23">
        <f>G22</f>
        <v>93.8334476393</v>
      </c>
      <c r="I22" s="23">
        <f>H22</f>
        <v>93.8334476393</v>
      </c>
      <c r="J22" s="23">
        <f>I22</f>
        <v>93.8334476393</v>
      </c>
      <c r="K22" s="23">
        <f>J22</f>
        <v>93.8334476393</v>
      </c>
    </row>
    <row r="23">
      <c r="A23" s="22" t="inlineStr">
        <is>
          <t>商誉</t>
        </is>
      </c>
      <c r="B23" s="20" t="inlineStr">
        <is>
          <t>亿元</t>
        </is>
      </c>
      <c r="C23" s="24" t="n">
        <v>39.3689341065</v>
      </c>
      <c r="D23" s="24" t="n">
        <v>56.10570203</v>
      </c>
      <c r="E23" s="24" t="n">
        <v>57.7057121474</v>
      </c>
      <c r="F23" s="24" t="n">
        <v>54.18885467770001</v>
      </c>
      <c r="G23" s="23">
        <f>F23</f>
        <v>54.18885467770001</v>
      </c>
      <c r="H23" s="23">
        <f>G23</f>
        <v>54.18885467770001</v>
      </c>
      <c r="I23" s="23">
        <f>H23</f>
        <v>54.18885467770001</v>
      </c>
      <c r="J23" s="23">
        <f>I23</f>
        <v>54.18885467770001</v>
      </c>
      <c r="K23" s="23">
        <f>J23</f>
        <v>54.18885467770001</v>
      </c>
    </row>
    <row r="24">
      <c r="A24" s="22" t="inlineStr">
        <is>
          <t>其他非流动资产</t>
        </is>
      </c>
      <c r="B24" s="20" t="inlineStr">
        <is>
          <t>亿元</t>
        </is>
      </c>
      <c r="C24" s="24" t="n">
        <v>85.31745528979999</v>
      </c>
      <c r="D24" s="24" t="n">
        <v>147.5720307039</v>
      </c>
      <c r="E24" s="24" t="n">
        <v>278.6864319711</v>
      </c>
      <c r="F24" s="24" t="n">
        <v>357.6012997346</v>
      </c>
      <c r="G24" s="23">
        <f>F24</f>
        <v>357.6012997346</v>
      </c>
      <c r="H24" s="23">
        <f>G24</f>
        <v>357.6012997346</v>
      </c>
      <c r="I24" s="23">
        <f>H24</f>
        <v>357.6012997346</v>
      </c>
      <c r="J24" s="23">
        <f>I24</f>
        <v>357.6012997346</v>
      </c>
      <c r="K24" s="23">
        <f>J24</f>
        <v>357.6012997346</v>
      </c>
      <c r="L24" s="20" t="inlineStr">
        <is>
          <t>含预付设备款、待抵扣进项税等</t>
        </is>
      </c>
    </row>
    <row r="25">
      <c r="A25" s="22" t="inlineStr">
        <is>
          <t>其余非流动资产项目（递延所得税资产、长期待摊、投资性房地产等）</t>
        </is>
      </c>
      <c r="B25" s="20" t="inlineStr">
        <is>
          <t>亿元</t>
        </is>
      </c>
      <c r="C25" s="25">
        <f>C65-C18-C19-C20-C21-C22-C23-C24</f>
        <v>35.81310450209986</v>
      </c>
      <c r="D25" s="25">
        <f>D65-D18-D19-D20-D21-D22-D23-D24</f>
        <v>33.85437663310009</v>
      </c>
      <c r="E25" s="25">
        <f>E65-E18-E19-E20-E21-E22-E23-E24</f>
        <v>35.68065974069907</v>
      </c>
      <c r="F25" s="25">
        <f>F65-F18-F19-F20-F21-F22-F23-F24</f>
        <v>36.358254321399784</v>
      </c>
      <c r="G25" s="23">
        <f>F25</f>
        <v>36.358254321399784</v>
      </c>
      <c r="H25" s="23">
        <f>G25</f>
        <v>36.358254321399784</v>
      </c>
      <c r="I25" s="23">
        <f>H25</f>
        <v>36.358254321399784</v>
      </c>
      <c r="J25" s="23">
        <f>I25</f>
        <v>36.358254321399784</v>
      </c>
      <c r="K25" s="23">
        <f>J25</f>
        <v>36.358254321399784</v>
      </c>
    </row>
    <row r="26">
      <c r="A26" s="21" t="inlineStr">
        <is>
          <t>非流动资产合计</t>
        </is>
      </c>
      <c r="B26" s="20" t="inlineStr">
        <is>
          <t>亿元</t>
        </is>
      </c>
      <c r="C26" s="28">
        <f>SUM(C18:C25)</f>
        <v>3990.9075403353</v>
      </c>
      <c r="D26" s="28">
        <f>SUM(D18:D25)</f>
        <v>4710.269177484201</v>
      </c>
      <c r="E26" s="28">
        <f>SUM(E18:E25)</f>
        <v>5755.574907839598</v>
      </c>
      <c r="F26" s="28">
        <f>SUM(F18:F25)</f>
        <v>6631.8456601182</v>
      </c>
      <c r="G26" s="29">
        <f>SUM(G18:G25)</f>
        <v>7268.761633166286</v>
      </c>
      <c r="H26" s="29">
        <f>SUM(H18:H25)</f>
        <v>7886.626438634403</v>
      </c>
      <c r="I26" s="29">
        <f>SUM(I18:I25)</f>
        <v>8486.768144939235</v>
      </c>
      <c r="J26" s="29">
        <f>SUM(J18:J25)</f>
        <v>9089.839873917885</v>
      </c>
      <c r="K26" s="29">
        <f>SUM(K18:K25)</f>
        <v>9694.308073269387</v>
      </c>
    </row>
    <row r="27">
      <c r="A27" s="21" t="inlineStr">
        <is>
          <t>资产总计 Total assets</t>
        </is>
      </c>
      <c r="B27" s="20" t="inlineStr">
        <is>
          <t>亿元</t>
        </is>
      </c>
      <c r="C27" s="28">
        <f>C15+C26</f>
        <v>4648.511708941</v>
      </c>
      <c r="D27" s="28">
        <f>D15+D26</f>
        <v>5392.6725047602</v>
      </c>
      <c r="E27" s="28">
        <f>E15+E26</f>
        <v>6597.391688412698</v>
      </c>
      <c r="F27" s="28">
        <f>F15+F26</f>
        <v>7492.6199410731</v>
      </c>
      <c r="G27" s="29">
        <f>G15+G26</f>
        <v>8145.353352632989</v>
      </c>
      <c r="H27" s="29">
        <f>H15+H26</f>
        <v>8888.411954074021</v>
      </c>
      <c r="I27" s="29">
        <f>I15+I26</f>
        <v>9580.24833426323</v>
      </c>
      <c r="J27" s="29">
        <f>J15+J26</f>
        <v>10279.082783647948</v>
      </c>
      <c r="K27" s="29">
        <f>K15+K26</f>
        <v>10940.33933474231</v>
      </c>
    </row>
    <row r="29">
      <c r="A29" s="12" t="inlineStr">
        <is>
          <t>流动负债 Current liabilities</t>
        </is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0">
      <c r="A30" s="22" t="inlineStr">
        <is>
          <t>短期借款</t>
        </is>
      </c>
      <c r="B30" s="20" t="inlineStr">
        <is>
          <t>亿元</t>
        </is>
      </c>
      <c r="C30" s="24" t="n">
        <v>153.6451711447</v>
      </c>
      <c r="D30" s="24" t="n">
        <v>198.6435493372</v>
      </c>
      <c r="E30" s="24" t="n">
        <v>290.7573389052</v>
      </c>
      <c r="F30" s="24" t="n">
        <v>252.7188277342</v>
      </c>
      <c r="G30" s="23">
        <f>F30</f>
        <v>252.7188277342</v>
      </c>
      <c r="H30" s="23">
        <f>G30</f>
        <v>252.7188277342</v>
      </c>
      <c r="I30" s="23">
        <f>H30</f>
        <v>252.7188277342</v>
      </c>
      <c r="J30" s="23">
        <f>I30</f>
        <v>252.7188277342</v>
      </c>
      <c r="K30" s="23">
        <f>J30</f>
        <v>252.7188277342</v>
      </c>
    </row>
    <row r="31">
      <c r="A31" s="22" t="inlineStr">
        <is>
          <t>应付票据及账款/(营业成本+资本开支)</t>
        </is>
      </c>
      <c r="B31" s="20" t="inlineStr">
        <is>
          <t>%</t>
        </is>
      </c>
      <c r="C31" s="31">
        <f>C32/('Income Statement'!C29+'Cash Flow'!C27*-1)</f>
        <v>0.2300857661584316</v>
      </c>
      <c r="D31" s="31">
        <f>D32/('Income Statement'!D29+'Cash Flow'!D27*-1)</f>
        <v>0.20631221047177914</v>
      </c>
      <c r="E31" s="31">
        <f>E32/('Income Statement'!E29+'Cash Flow'!E27*-1)</f>
        <v>0.19926977509929508</v>
      </c>
      <c r="F31" s="31">
        <f>F32/('Income Statement'!F29+'Cash Flow'!F27*-1)</f>
        <v>0.20208528265516557</v>
      </c>
      <c r="G31" s="32" t="n">
        <v>0.19</v>
      </c>
      <c r="H31" s="32" t="n">
        <v>0.19</v>
      </c>
      <c r="I31" s="32" t="n">
        <v>0.19</v>
      </c>
      <c r="J31" s="32" t="n">
        <v>0.19</v>
      </c>
      <c r="K31" s="32" t="n">
        <v>0.19</v>
      </c>
      <c r="L31" s="20" t="inlineStr">
        <is>
          <t>应付账款中工程款占比高，故与成本+资本开支挂钩</t>
        </is>
      </c>
    </row>
    <row r="32">
      <c r="A32" s="22" t="inlineStr">
        <is>
          <t>应付票据及应付账款</t>
        </is>
      </c>
      <c r="B32" s="20" t="inlineStr">
        <is>
          <t>亿元</t>
        </is>
      </c>
      <c r="C32" s="25">
        <f>1.5756649677+203.8142032266</f>
        <v>205.3898681943</v>
      </c>
      <c r="D32" s="25">
        <f>21.9199185291+202.1558134566</f>
        <v>224.07573198569997</v>
      </c>
      <c r="E32" s="25">
        <f>17.843259445+250.82026161459999</f>
        <v>268.6635210596</v>
      </c>
      <c r="F32" s="25">
        <f>20.5764810348+266.0708726469</f>
        <v>286.6473536817</v>
      </c>
      <c r="G32" s="23">
        <f>('Income Statement'!G29-'Cash Flow'!G27)*G31</f>
        <v>259.8932636350469</v>
      </c>
      <c r="H32" s="23">
        <f>('Income Statement'!H29-'Cash Flow'!H27)*H31</f>
        <v>275.01433410849444</v>
      </c>
      <c r="I32" s="23">
        <f>('Income Statement'!I29-'Cash Flow'!I27)*I31</f>
        <v>295.1996219865082</v>
      </c>
      <c r="J32" s="23">
        <f>('Income Statement'!J29-'Cash Flow'!J27)*J31</f>
        <v>310.6638652706338</v>
      </c>
      <c r="K32" s="23">
        <f>('Income Statement'!K29-'Cash Flow'!K27)*K31</f>
        <v>324.21396160889026</v>
      </c>
    </row>
    <row r="33">
      <c r="A33" s="22" t="inlineStr">
        <is>
          <t>应交税费/收入</t>
        </is>
      </c>
      <c r="B33" s="20" t="inlineStr">
        <is>
          <t>%</t>
        </is>
      </c>
      <c r="C33" s="31">
        <f>C34/'Income Statement'!C7</f>
        <v>0.05481468802361398</v>
      </c>
      <c r="D33" s="31">
        <f>D34/'Income Statement'!D7</f>
        <v>0.056979585912019216</v>
      </c>
      <c r="E33" s="31">
        <f>E34/'Income Statement'!E7</f>
        <v>0.09135113238915987</v>
      </c>
      <c r="F33" s="31">
        <f>F34/'Income Statement'!F7</f>
        <v>0.0703236013383073</v>
      </c>
      <c r="G33" s="32" t="n">
        <v>0.07000000000000001</v>
      </c>
      <c r="H33" s="32" t="n">
        <v>0.07000000000000001</v>
      </c>
      <c r="I33" s="32" t="n">
        <v>0.07000000000000001</v>
      </c>
      <c r="J33" s="32" t="n">
        <v>0.07000000000000001</v>
      </c>
      <c r="K33" s="32" t="n">
        <v>0.07000000000000001</v>
      </c>
    </row>
    <row r="34">
      <c r="A34" s="22" t="inlineStr">
        <is>
          <t>应交税费</t>
        </is>
      </c>
      <c r="B34" s="20" t="inlineStr">
        <is>
          <t>亿元</t>
        </is>
      </c>
      <c r="C34" s="24" t="n">
        <v>39.0749797082</v>
      </c>
      <c r="D34" s="24" t="n">
        <v>42.7102909263</v>
      </c>
      <c r="E34" s="24" t="n">
        <v>70.5889004845</v>
      </c>
      <c r="F34" s="24" t="n">
        <v>57.7184440725</v>
      </c>
      <c r="G34" s="23">
        <f>'Income Statement'!G7*G33</f>
        <v>56.51990202674844</v>
      </c>
      <c r="H34" s="23">
        <f>'Income Statement'!H7*H33</f>
        <v>63.61003498425965</v>
      </c>
      <c r="I34" s="23">
        <f>'Income Statement'!I7*I33</f>
        <v>71.02717281880025</v>
      </c>
      <c r="J34" s="23">
        <f>'Income Statement'!J7*J33</f>
        <v>76.72864492924282</v>
      </c>
      <c r="K34" s="23">
        <f>'Income Statement'!K7*K33</f>
        <v>82.0593608579231</v>
      </c>
    </row>
    <row r="35">
      <c r="A35" s="22" t="inlineStr">
        <is>
          <t>一年内到期的非流动负债</t>
        </is>
      </c>
      <c r="B35" s="20" t="inlineStr">
        <is>
          <t>亿元</t>
        </is>
      </c>
      <c r="C35" s="24" t="n">
        <v>234.191874704</v>
      </c>
      <c r="D35" s="24" t="n">
        <v>395.083722141</v>
      </c>
      <c r="E35" s="24" t="n">
        <v>313.1910144246</v>
      </c>
      <c r="F35" s="24" t="n">
        <v>399.5413604066001</v>
      </c>
      <c r="G35" s="23">
        <f>F35</f>
        <v>399.5413604066001</v>
      </c>
      <c r="H35" s="23">
        <f>G35</f>
        <v>399.5413604066001</v>
      </c>
      <c r="I35" s="23">
        <f>H35</f>
        <v>399.5413604066001</v>
      </c>
      <c r="J35" s="23">
        <f>I35</f>
        <v>399.5413604066001</v>
      </c>
      <c r="K35" s="23">
        <f>J35</f>
        <v>399.5413604066001</v>
      </c>
    </row>
    <row r="36">
      <c r="A36" s="22" t="inlineStr">
        <is>
          <t>其他流动负债项目（合同负债、职工薪酬、其他应付款等）</t>
        </is>
      </c>
      <c r="B36" s="20" t="inlineStr">
        <is>
          <t>亿元</t>
        </is>
      </c>
      <c r="C36" s="25">
        <f>C67-C30-C32-C34-C35</f>
        <v>107.06796527609995</v>
      </c>
      <c r="D36" s="25">
        <f>D67-D30-D32-D34-D35</f>
        <v>115.46649963419992</v>
      </c>
      <c r="E36" s="25">
        <f>E67-E30-E32-E34-E35</f>
        <v>74.2303823571001</v>
      </c>
      <c r="F36" s="25">
        <f>F67-F30-F32-F34-F35</f>
        <v>58.50875860529993</v>
      </c>
      <c r="G36" s="23">
        <f>F36</f>
        <v>58.50875860529993</v>
      </c>
      <c r="H36" s="23">
        <f>G36</f>
        <v>58.50875860529993</v>
      </c>
      <c r="I36" s="23">
        <f>H36</f>
        <v>58.50875860529993</v>
      </c>
      <c r="J36" s="23">
        <f>I36</f>
        <v>58.50875860529993</v>
      </c>
      <c r="K36" s="23">
        <f>J36</f>
        <v>58.50875860529993</v>
      </c>
    </row>
    <row r="37">
      <c r="A37" s="21" t="inlineStr">
        <is>
          <t>流动负债合计</t>
        </is>
      </c>
      <c r="B37" s="20" t="inlineStr">
        <is>
          <t>亿元</t>
        </is>
      </c>
      <c r="C37" s="28">
        <f>C30+C32+C34+C35+C36</f>
        <v>739.3698590272999</v>
      </c>
      <c r="D37" s="28">
        <f>D30+D32+D34+D35+D36</f>
        <v>975.9797940243998</v>
      </c>
      <c r="E37" s="28">
        <f>E30+E32+E34+E35+E36</f>
        <v>1017.431157231</v>
      </c>
      <c r="F37" s="28">
        <f>F30+F32+F34+F35+F36</f>
        <v>1055.1347445003</v>
      </c>
      <c r="G37" s="29">
        <f>G30+G32+G34+G35+G36</f>
        <v>1027.1821124078954</v>
      </c>
      <c r="H37" s="29">
        <f>H30+H32+H34+H35+H36</f>
        <v>1049.393315838854</v>
      </c>
      <c r="I37" s="29">
        <f>I30+I32+I34+I35+I36</f>
        <v>1076.9957415514086</v>
      </c>
      <c r="J37" s="29">
        <f>J30+J32+J34+J35+J36</f>
        <v>1098.1614569459766</v>
      </c>
      <c r="K37" s="29">
        <f>K30+K32+K34+K35+K36</f>
        <v>1117.0422692129137</v>
      </c>
    </row>
    <row r="39">
      <c r="A39" s="12" t="inlineStr">
        <is>
          <t>非流动负债 Non-current liabilities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</row>
    <row r="40">
      <c r="A40" s="22" t="inlineStr">
        <is>
          <t>长期借款</t>
        </is>
      </c>
      <c r="B40" s="20" t="inlineStr">
        <is>
          <t>亿元</t>
        </is>
      </c>
      <c r="C40" s="24" t="n">
        <v>2085.1126790701</v>
      </c>
      <c r="D40" s="24" t="n">
        <v>2448.5336403677</v>
      </c>
      <c r="E40" s="24" t="n">
        <v>3043.0389633874</v>
      </c>
      <c r="F40" s="24" t="n">
        <v>3631.7595493903</v>
      </c>
      <c r="G40" s="23">
        <f>F40+'Cash Flow'!G36</f>
        <v>4128.415773907995</v>
      </c>
      <c r="H40" s="23">
        <f>G40+'Cash Flow'!H36</f>
        <v>4638.110690804524</v>
      </c>
      <c r="I40" s="23">
        <f>H40+'Cash Flow'!I36</f>
        <v>5093.669024468676</v>
      </c>
      <c r="J40" s="23">
        <f>I40+'Cash Flow'!J36</f>
        <v>5551.957515842402</v>
      </c>
      <c r="K40" s="23">
        <f>J40+'Cash Flow'!K36</f>
        <v>5973.552634917186</v>
      </c>
      <c r="L40" s="20" t="inlineStr">
        <is>
          <t>平衡项：满足目标现金余额所需的净借款</t>
        </is>
      </c>
    </row>
    <row r="41">
      <c r="A41" s="22" t="inlineStr">
        <is>
          <t>应付债券</t>
        </is>
      </c>
      <c r="B41" s="20" t="inlineStr">
        <is>
          <t>亿元</t>
        </is>
      </c>
      <c r="C41" s="24" t="n">
        <v>89.99285988370001</v>
      </c>
      <c r="D41" s="24" t="n">
        <v>84.0172669989</v>
      </c>
      <c r="E41" s="24" t="n">
        <v>149.6367910261</v>
      </c>
      <c r="F41" s="24" t="n">
        <v>119.6388528765</v>
      </c>
      <c r="G41" s="23">
        <f>F41</f>
        <v>119.6388528765</v>
      </c>
      <c r="H41" s="23">
        <f>G41</f>
        <v>119.6388528765</v>
      </c>
      <c r="I41" s="23">
        <f>H41</f>
        <v>119.6388528765</v>
      </c>
      <c r="J41" s="23">
        <f>I41</f>
        <v>119.6388528765</v>
      </c>
      <c r="K41" s="23">
        <f>J41</f>
        <v>119.6388528765</v>
      </c>
    </row>
    <row r="42">
      <c r="A42" s="22" t="inlineStr">
        <is>
          <t>租赁负债</t>
        </is>
      </c>
      <c r="B42" s="20" t="inlineStr">
        <is>
          <t>亿元</t>
        </is>
      </c>
      <c r="C42" s="24" t="n">
        <v>27.8977051936</v>
      </c>
      <c r="D42" s="24" t="n">
        <v>36.2373482109</v>
      </c>
      <c r="E42" s="24" t="n">
        <v>42.0799350714</v>
      </c>
      <c r="F42" s="24" t="n">
        <v>47.263523653</v>
      </c>
      <c r="G42" s="23">
        <f>F42</f>
        <v>47.263523653</v>
      </c>
      <c r="H42" s="23">
        <f>G42</f>
        <v>47.263523653</v>
      </c>
      <c r="I42" s="23">
        <f>H42</f>
        <v>47.263523653</v>
      </c>
      <c r="J42" s="23">
        <f>I42</f>
        <v>47.263523653</v>
      </c>
      <c r="K42" s="23">
        <f>J42</f>
        <v>47.263523653</v>
      </c>
    </row>
    <row r="43">
      <c r="A43" s="22" t="inlineStr">
        <is>
          <t>长期应付款</t>
        </is>
      </c>
      <c r="B43" s="20" t="inlineStr">
        <is>
          <t>亿元</t>
        </is>
      </c>
      <c r="C43" s="24" t="n">
        <v>156.4804252381</v>
      </c>
      <c r="D43" s="24" t="n">
        <v>151.911751254</v>
      </c>
      <c r="E43" s="24" t="n">
        <v>177.7387535868</v>
      </c>
      <c r="F43" s="24" t="n">
        <v>235.124479229</v>
      </c>
      <c r="G43" s="23">
        <f>F43</f>
        <v>235.124479229</v>
      </c>
      <c r="H43" s="23">
        <f>G43</f>
        <v>235.124479229</v>
      </c>
      <c r="I43" s="23">
        <f>H43</f>
        <v>235.124479229</v>
      </c>
      <c r="J43" s="23">
        <f>I43</f>
        <v>235.124479229</v>
      </c>
      <c r="K43" s="23">
        <f>J43</f>
        <v>235.124479229</v>
      </c>
      <c r="L43" s="20" t="inlineStr">
        <is>
          <t>含融资租赁款、专项应付款</t>
        </is>
      </c>
    </row>
    <row r="44">
      <c r="A44" s="22" t="inlineStr">
        <is>
          <t>预计负债/核电年末装机</t>
        </is>
      </c>
      <c r="B44" s="20" t="inlineStr">
        <is>
          <t>元/kW</t>
        </is>
      </c>
      <c r="C44" s="55">
        <f>C45*10000/'Revenue Model'!C41</f>
        <v>250.59677138231578</v>
      </c>
      <c r="D44" s="55">
        <f>D45*10000/'Revenue Model'!D41</f>
        <v>257.1704557052632</v>
      </c>
      <c r="E44" s="55">
        <f>E45*10000/'Revenue Model'!E41</f>
        <v>266.3207562951579</v>
      </c>
      <c r="F44" s="55">
        <f>F45*10000/'Revenue Model'!F41</f>
        <v>279.7566599368</v>
      </c>
      <c r="G44" s="18" t="n">
        <v>280</v>
      </c>
      <c r="H44" s="18" t="n">
        <v>280</v>
      </c>
      <c r="I44" s="18" t="n">
        <v>280</v>
      </c>
      <c r="J44" s="18" t="n">
        <v>280</v>
      </c>
      <c r="K44" s="18" t="n">
        <v>280</v>
      </c>
      <c r="L44" s="20" t="inlineStr">
        <is>
          <t>核电站弃置费用；2025A 280 元/kW</t>
        </is>
      </c>
    </row>
    <row r="45">
      <c r="A45" s="22" t="inlineStr">
        <is>
          <t>预计负债（核电站弃置费用等）</t>
        </is>
      </c>
      <c r="B45" s="20" t="inlineStr">
        <is>
          <t>亿元</t>
        </is>
      </c>
      <c r="C45" s="24" t="n">
        <v>59.5167332033</v>
      </c>
      <c r="D45" s="24" t="n">
        <v>61.07798323</v>
      </c>
      <c r="E45" s="24" t="n">
        <v>63.2511796201</v>
      </c>
      <c r="F45" s="24" t="n">
        <v>69.9391649842</v>
      </c>
      <c r="G45" s="23">
        <f>'Revenue Model'!G41*G44/10000</f>
        <v>77.28560000000002</v>
      </c>
      <c r="H45" s="23">
        <f>'Revenue Model'!H41*H44/10000</f>
        <v>91.4004</v>
      </c>
      <c r="I45" s="23">
        <f>'Revenue Model'!I41*I44/10000</f>
        <v>98.5824</v>
      </c>
      <c r="J45" s="23">
        <f>'Revenue Model'!J41*J44/10000</f>
        <v>108.9844</v>
      </c>
      <c r="K45" s="23">
        <f>'Revenue Model'!K41*K44/10000</f>
        <v>112.3864</v>
      </c>
      <c r="L45" s="20" t="inlineStr">
        <is>
          <t>增量计入固定资产（弃置成本资本化，非现金）</t>
        </is>
      </c>
    </row>
    <row r="46">
      <c r="A46" s="22" t="inlineStr">
        <is>
          <t>其余非流动负债项目（递延收益、递延所得税负债、长期应付职工薪酬等）</t>
        </is>
      </c>
      <c r="B46" s="20" t="inlineStr">
        <is>
          <t>亿元</t>
        </is>
      </c>
      <c r="C46" s="25">
        <f>C68-C40-C41-C42-C43-C45</f>
        <v>10.530229922300002</v>
      </c>
      <c r="D46" s="25">
        <f>D68-D40-D41-D42-D43-D45</f>
        <v>6.934693760799632</v>
      </c>
      <c r="E46" s="25">
        <f>E68-E40-E41-E42-E43-E45</f>
        <v>10.535310049199872</v>
      </c>
      <c r="F46" s="25">
        <f>F68-F40-F41-F42-F43-F45</f>
        <v>11.502175438100096</v>
      </c>
      <c r="G46" s="23">
        <f>F46</f>
        <v>11.502175438100096</v>
      </c>
      <c r="H46" s="23">
        <f>G46</f>
        <v>11.502175438100096</v>
      </c>
      <c r="I46" s="23">
        <f>H46</f>
        <v>11.502175438100096</v>
      </c>
      <c r="J46" s="23">
        <f>I46</f>
        <v>11.502175438100096</v>
      </c>
      <c r="K46" s="23">
        <f>J46</f>
        <v>11.502175438100096</v>
      </c>
    </row>
    <row r="47">
      <c r="A47" s="21" t="inlineStr">
        <is>
          <t>非流动负债合计</t>
        </is>
      </c>
      <c r="B47" s="20" t="inlineStr">
        <is>
          <t>亿元</t>
        </is>
      </c>
      <c r="C47" s="28">
        <f>C40+C41+C42+C43+C45+C46</f>
        <v>2429.5306325111</v>
      </c>
      <c r="D47" s="28">
        <f>D40+D41+D42+D43+D45+D46</f>
        <v>2788.7126838223003</v>
      </c>
      <c r="E47" s="28">
        <f>E40+E41+E42+E43+E45+E46</f>
        <v>3486.2809327410005</v>
      </c>
      <c r="F47" s="28">
        <f>F40+F41+F42+F43+F45+F46</f>
        <v>4115.2277455711</v>
      </c>
      <c r="G47" s="29">
        <f>G40+G41+G42+G43+G45+G46</f>
        <v>4619.230405104596</v>
      </c>
      <c r="H47" s="29">
        <f>H40+H41+H42+H43+H45+H46</f>
        <v>5143.040122001125</v>
      </c>
      <c r="I47" s="29">
        <f>I40+I41+I42+I43+I45+I46</f>
        <v>5605.780455665277</v>
      </c>
      <c r="J47" s="29">
        <f>J40+J41+J42+J43+J45+J46</f>
        <v>6074.4709470390035</v>
      </c>
      <c r="K47" s="29">
        <f>K40+K41+K42+K43+K45+K46</f>
        <v>6499.468066113787</v>
      </c>
    </row>
    <row r="48">
      <c r="A48" s="21" t="inlineStr">
        <is>
          <t>负债合计 Total liabilities</t>
        </is>
      </c>
      <c r="B48" s="20" t="inlineStr">
        <is>
          <t>亿元</t>
        </is>
      </c>
      <c r="C48" s="28">
        <f>C37+C47</f>
        <v>3168.9004915384</v>
      </c>
      <c r="D48" s="28">
        <f>D37+D47</f>
        <v>3764.6924778467</v>
      </c>
      <c r="E48" s="28">
        <f>E37+E47</f>
        <v>4503.712089972</v>
      </c>
      <c r="F48" s="28">
        <f>F37+F47</f>
        <v>5170.3624900714</v>
      </c>
      <c r="G48" s="29">
        <f>G37+G47</f>
        <v>5646.412517512491</v>
      </c>
      <c r="H48" s="29">
        <f>H37+H47</f>
        <v>6192.43343783998</v>
      </c>
      <c r="I48" s="29">
        <f>I37+I47</f>
        <v>6682.776197216686</v>
      </c>
      <c r="J48" s="29">
        <f>J37+J47</f>
        <v>7172.632403984981</v>
      </c>
      <c r="K48" s="29">
        <f>K37+K47</f>
        <v>7616.5103353267</v>
      </c>
    </row>
    <row r="50">
      <c r="A50" s="12" t="inlineStr">
        <is>
          <t>所有者权益 Equity</t>
        </is>
      </c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</row>
    <row r="51">
      <c r="A51" s="22" t="inlineStr">
        <is>
          <t>股本</t>
        </is>
      </c>
      <c r="B51" s="20" t="inlineStr">
        <is>
          <t>亿元</t>
        </is>
      </c>
      <c r="C51" s="24" t="n">
        <v>188.6070415</v>
      </c>
      <c r="D51" s="24" t="n">
        <v>188.83284867</v>
      </c>
      <c r="E51" s="24" t="n">
        <v>205.68002074</v>
      </c>
      <c r="F51" s="24" t="n">
        <v>205.68002074</v>
      </c>
      <c r="G51" s="23">
        <f>F51</f>
        <v>205.68002074</v>
      </c>
      <c r="H51" s="23">
        <f>G51</f>
        <v>205.68002074</v>
      </c>
      <c r="I51" s="23">
        <f>H51</f>
        <v>205.68002074</v>
      </c>
      <c r="J51" s="23">
        <f>I51</f>
        <v>205.68002074</v>
      </c>
      <c r="K51" s="23">
        <f>J51</f>
        <v>205.68002074</v>
      </c>
    </row>
    <row r="52">
      <c r="A52" s="22" t="inlineStr">
        <is>
          <t>其他权益工具（永续债）</t>
        </is>
      </c>
      <c r="B52" s="20" t="inlineStr">
        <is>
          <t>亿元</t>
        </is>
      </c>
      <c r="C52" s="24" t="n">
        <v>60</v>
      </c>
      <c r="D52" s="24" t="n">
        <v>10</v>
      </c>
      <c r="E52" s="24" t="n">
        <v>10</v>
      </c>
      <c r="F52" s="24" t="n">
        <v>10</v>
      </c>
      <c r="G52" s="23">
        <f>F52</f>
        <v>10.0</v>
      </c>
      <c r="H52" s="23">
        <f>G52</f>
        <v>10.0</v>
      </c>
      <c r="I52" s="23">
        <f>H52</f>
        <v>10.0</v>
      </c>
      <c r="J52" s="23">
        <f>I52</f>
        <v>10.0</v>
      </c>
      <c r="K52" s="23">
        <f>J52</f>
        <v>10.0</v>
      </c>
    </row>
    <row r="53">
      <c r="A53" s="22" t="inlineStr">
        <is>
          <t>资本公积</t>
        </is>
      </c>
      <c r="B53" s="20" t="inlineStr">
        <is>
          <t>亿元</t>
        </is>
      </c>
      <c r="C53" s="24" t="n">
        <v>274.0013094323</v>
      </c>
      <c r="D53" s="24" t="n">
        <v>273.364428668</v>
      </c>
      <c r="E53" s="24" t="n">
        <v>402.0600752954</v>
      </c>
      <c r="F53" s="24" t="n">
        <v>434.4443217393</v>
      </c>
      <c r="G53" s="23">
        <f>F53</f>
        <v>434.4443217393</v>
      </c>
      <c r="H53" s="23">
        <f>G53</f>
        <v>434.4443217393</v>
      </c>
      <c r="I53" s="23">
        <f>H53</f>
        <v>434.4443217393</v>
      </c>
      <c r="J53" s="23">
        <f>I53</f>
        <v>434.4443217393</v>
      </c>
      <c r="K53" s="23">
        <f>J53</f>
        <v>434.4443217393</v>
      </c>
    </row>
    <row r="54">
      <c r="A54" s="22" t="inlineStr">
        <is>
          <t>减：库存股</t>
        </is>
      </c>
      <c r="B54" s="20" t="inlineStr">
        <is>
          <t>亿元</t>
        </is>
      </c>
      <c r="C54" s="24" t="n">
        <v>0</v>
      </c>
      <c r="D54" s="24" t="n">
        <v>0</v>
      </c>
      <c r="E54" s="24" t="n">
        <v>0</v>
      </c>
      <c r="F54" s="24" t="n">
        <v>3.7484053948</v>
      </c>
      <c r="G54" s="23">
        <f>F54</f>
        <v>3.7484053948</v>
      </c>
      <c r="H54" s="23">
        <f>G54</f>
        <v>3.7484053948</v>
      </c>
      <c r="I54" s="23">
        <f>H54</f>
        <v>3.7484053948</v>
      </c>
      <c r="J54" s="23">
        <f>I54</f>
        <v>3.7484053948</v>
      </c>
      <c r="K54" s="23">
        <f>J54</f>
        <v>3.7484053948</v>
      </c>
    </row>
    <row r="55">
      <c r="A55" s="22" t="inlineStr">
        <is>
          <t>其他综合收益、专项储备、盈余公积</t>
        </is>
      </c>
      <c r="B55" s="20" t="inlineStr">
        <is>
          <t>亿元</t>
        </is>
      </c>
      <c r="C55" s="25">
        <f>-0.7839573769+3.2207165952+48.9400332354</f>
        <v>51.3767924537</v>
      </c>
      <c r="D55" s="25">
        <f>-0.8598535365000001+4.04939622+56.6075192696</f>
        <v>59.7970619531</v>
      </c>
      <c r="E55" s="25">
        <f>-1.2960421002+4.7054495888+64.44059555689999</f>
        <v>67.85000304549999</v>
      </c>
      <c r="F55" s="25">
        <f>-1.2394426115000001+5.2412027074+71.6640645916</f>
        <v>75.66582468749999</v>
      </c>
      <c r="G55" s="23">
        <f>F55</f>
        <v>75.66582468749999</v>
      </c>
      <c r="H55" s="23">
        <f>G55</f>
        <v>75.66582468749999</v>
      </c>
      <c r="I55" s="23">
        <f>H55</f>
        <v>75.66582468749999</v>
      </c>
      <c r="J55" s="23">
        <f>I55</f>
        <v>75.66582468749999</v>
      </c>
      <c r="K55" s="23">
        <f>J55</f>
        <v>75.66582468749999</v>
      </c>
      <c r="L55" s="20" t="inlineStr">
        <is>
          <t>预测期盈余公积提取视为权益内部结转，合并列示</t>
        </is>
      </c>
    </row>
    <row r="56">
      <c r="A56" s="22" t="inlineStr">
        <is>
          <t>未分配利润</t>
        </is>
      </c>
      <c r="B56" s="20" t="inlineStr">
        <is>
          <t>亿元</t>
        </is>
      </c>
      <c r="C56" s="24" t="n">
        <v>313.344700272</v>
      </c>
      <c r="D56" s="24" t="n">
        <v>377.5018970299</v>
      </c>
      <c r="E56" s="24" t="n">
        <v>416.5801787357</v>
      </c>
      <c r="F56" s="24" t="n">
        <v>465.1342971666</v>
      </c>
      <c r="G56" s="23">
        <f>F56+'Income Statement'!G68-'Income Statement'!G70+'Cash Flow'!G37</f>
        <v>500.4260041125293</v>
      </c>
      <c r="H56" s="23">
        <f>G56+'Income Statement'!H68-'Income Statement'!H70+'Cash Flow'!H37</f>
        <v>553.3627311645926</v>
      </c>
      <c r="I56" s="23">
        <f>H56+'Income Statement'!I68-'Income Statement'!I70+'Cash Flow'!I37</f>
        <v>606.5369547949431</v>
      </c>
      <c r="J56" s="23">
        <f>I56+'Income Statement'!J68-'Income Statement'!J70+'Cash Flow'!J37</f>
        <v>663.2263433700001</v>
      </c>
      <c r="K56" s="23">
        <f>J56+'Income Statement'!K68-'Income Statement'!K70+'Cash Flow'!K37</f>
        <v>724.1338465074004</v>
      </c>
    </row>
    <row r="57">
      <c r="A57" s="21" t="inlineStr">
        <is>
          <t>归属于母公司所有者权益合计</t>
        </is>
      </c>
      <c r="B57" s="20" t="inlineStr">
        <is>
          <t>亿元</t>
        </is>
      </c>
      <c r="C57" s="28">
        <f>C51+C52+C53-C54+C55+C56</f>
        <v>887.3298436580001</v>
      </c>
      <c r="D57" s="28">
        <f>D51+D52+D53-D54+D55+D56</f>
        <v>909.496236321</v>
      </c>
      <c r="E57" s="28">
        <f>E51+E52+E53-E54+E55+E56</f>
        <v>1102.1702778166</v>
      </c>
      <c r="F57" s="28">
        <f>F51+F52+F53-F54+F55+F56</f>
        <v>1187.1760589386</v>
      </c>
      <c r="G57" s="29">
        <f>G51+G52+G53-G54+G55+G56</f>
        <v>1222.4677658845294</v>
      </c>
      <c r="H57" s="29">
        <f>H51+H52+H53-H54+H55+H56</f>
        <v>1275.4044929365925</v>
      </c>
      <c r="I57" s="29">
        <f>I51+I52+I53-I54+I55+I56</f>
        <v>1328.578716566943</v>
      </c>
      <c r="J57" s="29">
        <f>J51+J52+J53-J54+J55+J56</f>
        <v>1385.268105142</v>
      </c>
      <c r="K57" s="29">
        <f>K51+K52+K53-K54+K55+K56</f>
        <v>1446.1756082794004</v>
      </c>
    </row>
    <row r="58">
      <c r="A58" s="22" t="inlineStr">
        <is>
          <t>少数股东权益</t>
        </is>
      </c>
      <c r="B58" s="20" t="inlineStr">
        <is>
          <t>亿元</t>
        </is>
      </c>
      <c r="C58" s="24" t="n">
        <v>592.2813737446</v>
      </c>
      <c r="D58" s="24" t="n">
        <v>718.4837905925</v>
      </c>
      <c r="E58" s="24" t="n">
        <v>991.5093206241</v>
      </c>
      <c r="F58" s="24" t="n">
        <v>1135.0813920631</v>
      </c>
      <c r="G58" s="23">
        <f>F58+'Income Statement'!G67+'Cash Flow'!G35+'Cash Flow'!G39</f>
        <v>1276.473069235972</v>
      </c>
      <c r="H58" s="23">
        <f>G58+'Income Statement'!H67+'Cash Flow'!H35+'Cash Flow'!H39</f>
        <v>1420.574023297451</v>
      </c>
      <c r="I58" s="23">
        <f>H58+'Income Statement'!I67+'Cash Flow'!I35+'Cash Flow'!I39</f>
        <v>1568.8934204796037</v>
      </c>
      <c r="J58" s="23">
        <f>I58+'Income Statement'!J67+'Cash Flow'!J35+'Cash Flow'!J39</f>
        <v>1721.1822745209706</v>
      </c>
      <c r="K58" s="23">
        <f>J58+'Income Statement'!K67+'Cash Flow'!K35+'Cash Flow'!K39</f>
        <v>1877.6533911362121</v>
      </c>
    </row>
    <row r="59">
      <c r="A59" s="21" t="inlineStr">
        <is>
          <t>所有者权益合计</t>
        </is>
      </c>
      <c r="B59" s="20" t="inlineStr">
        <is>
          <t>亿元</t>
        </is>
      </c>
      <c r="C59" s="28">
        <f>C57+C58</f>
        <v>1479.6112174026002</v>
      </c>
      <c r="D59" s="28">
        <f>D57+D58</f>
        <v>1627.9800269134998</v>
      </c>
      <c r="E59" s="28">
        <f>E57+E58</f>
        <v>2093.6795984407</v>
      </c>
      <c r="F59" s="28">
        <f>F57+F58</f>
        <v>2322.2574510017002</v>
      </c>
      <c r="G59" s="29">
        <f>G57+G58</f>
        <v>2498.940835120501</v>
      </c>
      <c r="H59" s="29">
        <f>H57+H58</f>
        <v>2695.9785162340436</v>
      </c>
      <c r="I59" s="29">
        <f>I57+I58</f>
        <v>2897.472137046547</v>
      </c>
      <c r="J59" s="29">
        <f>J57+J58</f>
        <v>3106.4503796629706</v>
      </c>
      <c r="K59" s="29">
        <f>K57+K58</f>
        <v>3323.8289994156125</v>
      </c>
    </row>
    <row r="60">
      <c r="A60" s="21" t="inlineStr">
        <is>
          <t>负债和所有者权益总计</t>
        </is>
      </c>
      <c r="B60" s="20" t="inlineStr">
        <is>
          <t>亿元</t>
        </is>
      </c>
      <c r="C60" s="28">
        <f>C48+C59</f>
        <v>4648.511708941</v>
      </c>
      <c r="D60" s="28">
        <f>D48+D59</f>
        <v>5392.672504760199</v>
      </c>
      <c r="E60" s="28">
        <f>E48+E59</f>
        <v>6597.3916884127</v>
      </c>
      <c r="F60" s="28">
        <f>F48+F59</f>
        <v>7492.619941073101</v>
      </c>
      <c r="G60" s="29">
        <f>G48+G59</f>
        <v>8145.353352632992</v>
      </c>
      <c r="H60" s="29">
        <f>H48+H59</f>
        <v>8888.411954074023</v>
      </c>
      <c r="I60" s="29">
        <f>I48+I59</f>
        <v>9580.248334263233</v>
      </c>
      <c r="J60" s="29">
        <f>J48+J59</f>
        <v>10279.082783647951</v>
      </c>
      <c r="K60" s="29">
        <f>K48+K59</f>
        <v>10940.339334742313</v>
      </c>
    </row>
    <row r="61">
      <c r="A61" s="21" t="inlineStr">
        <is>
          <t>平衡校验（资产−负债−权益）</t>
        </is>
      </c>
      <c r="B61" s="20" t="inlineStr">
        <is>
          <t>亿元</t>
        </is>
      </c>
      <c r="C61" s="56">
        <f>ROUND(C27-C60,3)</f>
        <v>0.0</v>
      </c>
      <c r="D61" s="56">
        <f>ROUND(D27-D60,3)</f>
        <v>0.0</v>
      </c>
      <c r="E61" s="56">
        <f>ROUND(E27-E60,3)</f>
        <v>-0.0</v>
      </c>
      <c r="F61" s="56">
        <f>ROUND(F27-F60,3)</f>
        <v>-0.0</v>
      </c>
      <c r="G61" s="57">
        <f>ROUND(G27-G60,3)</f>
        <v>-0.0</v>
      </c>
      <c r="H61" s="57">
        <f>ROUND(H27-H60,3)</f>
        <v>-0.0</v>
      </c>
      <c r="I61" s="57">
        <f>ROUND(I27-I60,3)</f>
        <v>-0.0</v>
      </c>
      <c r="J61" s="57">
        <f>ROUND(J27-J60,3)</f>
        <v>-0.0</v>
      </c>
      <c r="K61" s="57">
        <f>ROUND(K27-K60,3)</f>
        <v>-0.0</v>
      </c>
    </row>
    <row r="63">
      <c r="A63" s="12" t="inlineStr">
        <is>
          <t>报告值（用于历史期分项轧差与校验）Reported subtotals</t>
        </is>
      </c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</row>
    <row r="64">
      <c r="A64" s="22" t="inlineStr">
        <is>
          <t xml:space="preserve">  报告：流动资产合计</t>
        </is>
      </c>
      <c r="B64" s="20" t="inlineStr">
        <is>
          <t>亿元</t>
        </is>
      </c>
      <c r="C64" s="24" t="n">
        <v>657.6041686057</v>
      </c>
      <c r="D64" s="24" t="n">
        <v>682.403327276</v>
      </c>
      <c r="E64" s="24" t="n">
        <v>841.8167805731</v>
      </c>
      <c r="F64" s="24" t="n">
        <v>860.7742809549001</v>
      </c>
    </row>
    <row r="65">
      <c r="A65" s="22" t="inlineStr">
        <is>
          <t xml:space="preserve">  报告：非流动资产合计</t>
        </is>
      </c>
      <c r="B65" s="20" t="inlineStr">
        <is>
          <t>亿元</t>
        </is>
      </c>
      <c r="C65" s="24" t="n">
        <v>3990.9075403353</v>
      </c>
      <c r="D65" s="24" t="n">
        <v>4710.2691774842</v>
      </c>
      <c r="E65" s="24" t="n">
        <v>5755.574907839599</v>
      </c>
      <c r="F65" s="24" t="n">
        <v>6631.8456601182</v>
      </c>
    </row>
    <row r="66">
      <c r="A66" s="22" t="inlineStr">
        <is>
          <t xml:space="preserve">  报告：资产总计</t>
        </is>
      </c>
      <c r="B66" s="20" t="inlineStr">
        <is>
          <t>亿元</t>
        </is>
      </c>
      <c r="C66" s="24" t="n">
        <v>4648.511708941</v>
      </c>
      <c r="D66" s="24" t="n">
        <v>5392.6725047602</v>
      </c>
      <c r="E66" s="24" t="n">
        <v>6597.3916884127</v>
      </c>
      <c r="F66" s="24" t="n">
        <v>7492.619941073101</v>
      </c>
    </row>
    <row r="67">
      <c r="A67" s="22" t="inlineStr">
        <is>
          <t xml:space="preserve">  报告：流动负债合计</t>
        </is>
      </c>
      <c r="B67" s="20" t="inlineStr">
        <is>
          <t>亿元</t>
        </is>
      </c>
      <c r="C67" s="24" t="n">
        <v>739.3698590273</v>
      </c>
      <c r="D67" s="24" t="n">
        <v>975.9797940244</v>
      </c>
      <c r="E67" s="24" t="n">
        <v>1017.431157231</v>
      </c>
      <c r="F67" s="24" t="n">
        <v>1055.1347445003</v>
      </c>
    </row>
    <row r="68">
      <c r="A68" s="22" t="inlineStr">
        <is>
          <t xml:space="preserve">  报告：非流动负债合计</t>
        </is>
      </c>
      <c r="B68" s="20" t="inlineStr">
        <is>
          <t>亿元</t>
        </is>
      </c>
      <c r="C68" s="24" t="n">
        <v>2429.5306325111</v>
      </c>
      <c r="D68" s="24" t="n">
        <v>2788.7126838223</v>
      </c>
      <c r="E68" s="24" t="n">
        <v>3486.280932741</v>
      </c>
      <c r="F68" s="24" t="n">
        <v>4115.2277455711</v>
      </c>
    </row>
    <row r="69">
      <c r="A69" s="22" t="inlineStr">
        <is>
          <t xml:space="preserve">  报告：负债合计</t>
        </is>
      </c>
      <c r="B69" s="20" t="inlineStr">
        <is>
          <t>亿元</t>
        </is>
      </c>
      <c r="C69" s="24" t="n">
        <v>3168.9004915384</v>
      </c>
      <c r="D69" s="24" t="n">
        <v>3764.6924778467</v>
      </c>
      <c r="E69" s="24" t="n">
        <v>4503.712089972</v>
      </c>
      <c r="F69" s="24" t="n">
        <v>5170.3624900714</v>
      </c>
    </row>
    <row r="70">
      <c r="A70" s="22" t="inlineStr">
        <is>
          <t xml:space="preserve">  报告：所有者权益（或股东权益）合计</t>
        </is>
      </c>
      <c r="B70" s="20" t="inlineStr">
        <is>
          <t>亿元</t>
        </is>
      </c>
      <c r="C70" s="24" t="n">
        <v>1479.6112174026</v>
      </c>
      <c r="D70" s="24" t="n">
        <v>1627.9800269135</v>
      </c>
      <c r="E70" s="24" t="n">
        <v>2093.6795984407</v>
      </c>
      <c r="F70" s="24" t="n">
        <v>2322.2574510017</v>
      </c>
    </row>
    <row r="72">
      <c r="A72" s="12" t="inlineStr">
        <is>
          <t>固定资产与在建工程 Fixed-asset &amp; CIP schedule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</row>
    <row r="73">
      <c r="A73" s="22" t="inlineStr">
        <is>
          <t>核电新机组转固（在建工程→固定资产）</t>
        </is>
      </c>
      <c r="B73" s="20" t="inlineStr">
        <is>
          <t>亿元</t>
        </is>
      </c>
      <c r="G73" s="41">
        <f>'Revenue Model'!G31</f>
        <v>290.78915</v>
      </c>
      <c r="H73" s="41">
        <f>'Revenue Model'!H31</f>
        <v>976.61381</v>
      </c>
      <c r="I73" s="41">
        <f>'Revenue Model'!I31</f>
        <v>472.66705</v>
      </c>
      <c r="J73" s="41">
        <f>'Revenue Model'!J31</f>
        <v>607.55137</v>
      </c>
      <c r="K73" s="41">
        <f>'Revenue Model'!K31</f>
        <v>222.86745</v>
      </c>
    </row>
    <row r="74">
      <c r="A74" s="22" t="inlineStr">
        <is>
          <t>固定资产增加合计</t>
        </is>
      </c>
      <c r="B74" s="20" t="inlineStr">
        <is>
          <t>亿元</t>
        </is>
      </c>
      <c r="G74" s="23">
        <f>G73-'Cash Flow'!G24+'Cash Flow'!G25+(G45-F45)</f>
        <v>437.1355850158</v>
      </c>
      <c r="H74" s="23">
        <f>H73-'Cash Flow'!H24+'Cash Flow'!H25+(H45-G45)</f>
        <v>1095.72861</v>
      </c>
      <c r="I74" s="23">
        <f>I73-'Cash Flow'!I24+'Cash Flow'!I25+(I45-H45)</f>
        <v>567.84905</v>
      </c>
      <c r="J74" s="23">
        <f>J73-'Cash Flow'!J24+'Cash Flow'!J25+(J45-I45)</f>
        <v>705.95337</v>
      </c>
      <c r="K74" s="23">
        <f>K73-'Cash Flow'!K24+'Cash Flow'!K25+(K45-J45)</f>
        <v>314.26944999999995</v>
      </c>
      <c r="L74" s="20" t="inlineStr">
        <is>
          <t>说明：=核电转固 + 新能源资本开支（建成即转固）+ 维护性资本开支 + 弃置费用资本化</t>
        </is>
      </c>
    </row>
    <row r="75">
      <c r="A75" s="22" t="inlineStr">
        <is>
          <t>折旧率（期初固定资产+½当年增加）</t>
        </is>
      </c>
      <c r="B75" s="20" t="inlineStr">
        <is>
          <t>%</t>
        </is>
      </c>
      <c r="G75" s="48" t="n">
        <v>0.059</v>
      </c>
      <c r="H75" s="48" t="n">
        <v>0.059</v>
      </c>
      <c r="I75" s="48" t="n">
        <v>0.059</v>
      </c>
      <c r="J75" s="48" t="n">
        <v>0.059</v>
      </c>
      <c r="K75" s="48" t="n">
        <v>0.059</v>
      </c>
      <c r="L75" s="20" t="inlineStr">
        <is>
          <t>2025A 203.41/(2,992.37+½×731)=6.06%；2026H1 折旧 107.85 亿（年化约 216 亿）→ 5.9%；核电按工作量法折旧</t>
        </is>
      </c>
    </row>
    <row r="76">
      <c r="A76" s="22" t="inlineStr">
        <is>
          <t>固定资产折旧</t>
        </is>
      </c>
      <c r="B76" s="20" t="inlineStr">
        <is>
          <t>亿元</t>
        </is>
      </c>
      <c r="C76" s="40">
        <f>'Cash Flow'!C8</f>
        <v>152.0271986217</v>
      </c>
      <c r="D76" s="40">
        <f>'Cash Flow'!D8</f>
        <v>160.8245529877</v>
      </c>
      <c r="E76" s="40">
        <f>'Cash Flow'!E8</f>
        <v>173.3204375823</v>
      </c>
      <c r="F76" s="40">
        <f>'Cash Flow'!F8</f>
        <v>203.4066679771</v>
      </c>
      <c r="G76" s="23">
        <f>(F19+G74/2)*G75</f>
        <v>220.58517694661546</v>
      </c>
      <c r="H76" s="23">
        <f>(G19+H74/2)*H75</f>
        <v>252.47744525973124</v>
      </c>
      <c r="I76" s="23">
        <f>(H19+I74/2)*I75</f>
        <v>286.34411695940713</v>
      </c>
      <c r="J76" s="23">
        <f>(I19+J74/2)*J75</f>
        <v>306.71428544880206</v>
      </c>
      <c r="K76" s="23">
        <f>(J19+K74/2)*K75</f>
        <v>318.40201579732275</v>
      </c>
    </row>
    <row r="77">
      <c r="A77" s="21" t="inlineStr">
        <is>
          <t>有息负债合计（短借+一年内到期+长借+债券+租赁）</t>
        </is>
      </c>
      <c r="B77" s="20" t="inlineStr">
        <is>
          <t>亿元</t>
        </is>
      </c>
      <c r="C77" s="28">
        <f>C30+C35+C40+C41+C42</f>
        <v>2590.8402899960997</v>
      </c>
      <c r="D77" s="28">
        <f>D30+D35+D40+D41+D42</f>
        <v>3162.5155270557007</v>
      </c>
      <c r="E77" s="28">
        <f>E30+E35+E40+E41+E42</f>
        <v>3838.7040428147</v>
      </c>
      <c r="F77" s="28">
        <f>F30+F35+F40+F41+F42</f>
        <v>4450.9221140606005</v>
      </c>
      <c r="G77" s="29">
        <f>G30+G35+G40+G41+G42</f>
        <v>4947.578338578295</v>
      </c>
      <c r="H77" s="29">
        <f>H30+H35+H40+H41+H42</f>
        <v>5457.2732554748245</v>
      </c>
      <c r="I77" s="29">
        <f>I30+I35+I40+I41+I42</f>
        <v>5912.831589138977</v>
      </c>
      <c r="J77" s="29">
        <f>J30+J35+J40+J41+J42</f>
        <v>6371.120080512703</v>
      </c>
      <c r="K77" s="29">
        <f>K30+K35+K40+K41+K42</f>
        <v>6792.7151995874865</v>
      </c>
    </row>
    <row r="78">
      <c r="A78" s="22" t="inlineStr">
        <is>
          <t>净负债 Net debt</t>
        </is>
      </c>
      <c r="B78" s="20" t="inlineStr">
        <is>
          <t>亿元</t>
        </is>
      </c>
      <c r="C78" s="25">
        <f>C77-C7</f>
        <v>2429.2235749746997</v>
      </c>
      <c r="D78" s="25">
        <f>D77-D7</f>
        <v>3064.7773358671006</v>
      </c>
      <c r="E78" s="25">
        <f>E77-E7</f>
        <v>3641.3238684262</v>
      </c>
      <c r="F78" s="25">
        <f>F77-F7</f>
        <v>4295.1056865948</v>
      </c>
      <c r="G78" s="23">
        <f>G77-G7</f>
        <v>4802.241447652371</v>
      </c>
      <c r="H78" s="23">
        <f>H77-H7</f>
        <v>5293.704594086728</v>
      </c>
      <c r="I78" s="23">
        <f>I77-I7</f>
        <v>5730.190287604919</v>
      </c>
      <c r="J78" s="23">
        <f>J77-J7</f>
        <v>6173.81785069465</v>
      </c>
      <c r="K78" s="23">
        <f>K77-K7</f>
        <v>6581.7054145242555</v>
      </c>
    </row>
    <row r="79">
      <c r="A79" s="22" t="inlineStr">
        <is>
          <t>资产负债率</t>
        </is>
      </c>
      <c r="B79" s="20" t="inlineStr">
        <is>
          <t>%</t>
        </is>
      </c>
      <c r="C79" s="31">
        <f>C48/C27</f>
        <v>0.6817021640374276</v>
      </c>
      <c r="D79" s="31">
        <f>D48/D27</f>
        <v>0.6981125730374956</v>
      </c>
      <c r="E79" s="31">
        <f>E48/E27</f>
        <v>0.6826504022615599</v>
      </c>
      <c r="F79" s="31">
        <f>F48/F27</f>
        <v>0.6900606904840414</v>
      </c>
      <c r="G79" s="36">
        <f>G48/G27</f>
        <v>0.6932065771814903</v>
      </c>
      <c r="H79" s="36">
        <f>H48/H27</f>
        <v>0.6966861425680957</v>
      </c>
      <c r="I79" s="36">
        <f>I48/I27</f>
        <v>0.6975577212665882</v>
      </c>
      <c r="J79" s="36">
        <f>J48/J27</f>
        <v>0.6977891466537526</v>
      </c>
      <c r="K79" s="36">
        <f>K48/K27</f>
        <v>0.6961859319243959</v>
      </c>
    </row>
    <row r="80">
      <c r="A80" s="22" t="inlineStr">
        <is>
          <t>净负债/EBITDA</t>
        </is>
      </c>
      <c r="B80" s="20" t="inlineStr">
        <is>
          <t>x</t>
        </is>
      </c>
      <c r="C80" s="58">
        <f>C78/'Income Statement'!C83</f>
        <v>5.599512824026335</v>
      </c>
      <c r="D80" s="58">
        <f>D78/'Income Statement'!D83</f>
        <v>6.61190799885212</v>
      </c>
      <c r="E80" s="58">
        <f>E78/'Income Statement'!E83</f>
        <v>7.7270352612054305</v>
      </c>
      <c r="F80" s="58">
        <f>F78/'Income Statement'!F83</f>
        <v>8.380572356707384</v>
      </c>
      <c r="G80" s="59">
        <f>G78/'Income Statement'!G83</f>
        <v>9.876952379874236</v>
      </c>
      <c r="H80" s="59">
        <f>H78/'Income Statement'!H83</f>
        <v>9.738488891946577</v>
      </c>
      <c r="I80" s="59">
        <f>I78/'Income Statement'!I83</f>
        <v>9.565430797891262</v>
      </c>
      <c r="J80" s="59">
        <f>J78/'Income Statement'!J83</f>
        <v>9.677530254721788</v>
      </c>
      <c r="K80" s="59">
        <f>K78/'Income Statement'!K83</f>
        <v>9.785103722654648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L9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60" customWidth="1" min="12" max="12"/>
  </cols>
  <sheetData>
    <row r="1">
      <c r="A1" s="6" t="inlineStr">
        <is>
          <t>情景假设 Scenarios — 牛 / 基准 / 熊（切换 C4 选择器驱动全模型）</t>
        </is>
      </c>
    </row>
    <row r="2">
      <c r="A2" s="7" t="inlineStr">
        <is>
          <t>单位：亿元人民币（另有注明除外）｜蓝色=硬编码输入　黑色=公式　绿色=跨表链接｜A=实际 E=预测</t>
        </is>
      </c>
    </row>
    <row r="3">
      <c r="A3" s="8" t="inlineStr">
        <is>
          <t>项目 / Line item</t>
        </is>
      </c>
      <c r="B3" s="9" t="inlineStr">
        <is>
          <t>单位</t>
        </is>
      </c>
      <c r="C3" s="10" t="n">
        <v>2022</v>
      </c>
      <c r="D3" s="10" t="n">
        <v>2023</v>
      </c>
      <c r="E3" s="10" t="n">
        <v>2024</v>
      </c>
      <c r="F3" s="10" t="n">
        <v>2025</v>
      </c>
      <c r="G3" s="11" t="n">
        <v>2026</v>
      </c>
      <c r="H3" s="11" t="n">
        <v>2027</v>
      </c>
      <c r="I3" s="11" t="n">
        <v>2028</v>
      </c>
      <c r="J3" s="11" t="n">
        <v>2029</v>
      </c>
      <c r="K3" s="11" t="n">
        <v>2030</v>
      </c>
      <c r="L3" s="9" t="inlineStr">
        <is>
          <t>来源 / 说明</t>
        </is>
      </c>
    </row>
    <row r="4">
      <c r="A4" s="60" t="inlineStr">
        <is>
          <t>情景选择器 Scenario selector（1=Bull 牛市, 2=Base 基准, 3=Bear 熊市）</t>
        </is>
      </c>
      <c r="C4" s="61" t="n">
        <v>2</v>
      </c>
      <c r="D4" s="21" t="str">
        <f>CHOOSE($C$4,"Bull 牛市","Base 基准","Bear 熊市")</f>
        <v>Base 基准</v>
      </c>
    </row>
    <row r="6">
      <c r="A6" s="37" t="inlineStr">
        <is>
          <t>驱动因素（2026E–2030E 每年）</t>
        </is>
      </c>
      <c r="B6" s="37" t="n"/>
      <c r="C6" s="37" t="n"/>
      <c r="D6" s="37" t="n"/>
      <c r="E6" s="37" t="n"/>
      <c r="F6" s="37" t="n"/>
      <c r="G6" s="62" t="n">
        <v>2026</v>
      </c>
      <c r="H6" s="62" t="n">
        <v>2027</v>
      </c>
      <c r="I6" s="62" t="n">
        <v>2028</v>
      </c>
      <c r="J6" s="62" t="n">
        <v>2029</v>
      </c>
      <c r="K6" s="62" t="n">
        <v>2030</v>
      </c>
      <c r="L6" s="37" t="n"/>
    </row>
    <row r="8">
      <c r="A8" s="12" t="inlineStr">
        <is>
          <t>核电综合电价（含增值税）Nuclear realized tariff incl. VAT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</row>
    <row r="9">
      <c r="A9" s="22" t="inlineStr">
        <is>
          <t xml:space="preserve">  Bull 牛市</t>
        </is>
      </c>
      <c r="B9" s="20" t="inlineStr">
        <is>
          <t>元/kWh</t>
        </is>
      </c>
      <c r="G9" s="63" t="n">
        <v>0.383</v>
      </c>
      <c r="H9" s="63" t="n">
        <v>0.385</v>
      </c>
      <c r="I9" s="63" t="n">
        <v>0.388</v>
      </c>
      <c r="J9" s="63" t="n">
        <v>0.39</v>
      </c>
      <c r="K9" s="63" t="n">
        <v>0.39</v>
      </c>
    </row>
    <row r="10">
      <c r="A10" s="22" t="inlineStr">
        <is>
          <t xml:space="preserve">  Base 基准</t>
        </is>
      </c>
      <c r="B10" s="20" t="inlineStr">
        <is>
          <t>元/kWh</t>
        </is>
      </c>
      <c r="G10" s="63" t="n">
        <v>0.378</v>
      </c>
      <c r="H10" s="63" t="n">
        <v>0.376</v>
      </c>
      <c r="I10" s="63" t="n">
        <v>0.375</v>
      </c>
      <c r="J10" s="63" t="n">
        <v>0.375</v>
      </c>
      <c r="K10" s="63" t="n">
        <v>0.375</v>
      </c>
    </row>
    <row r="11">
      <c r="A11" s="22" t="inlineStr">
        <is>
          <t xml:space="preserve">  Bear 熊市</t>
        </is>
      </c>
      <c r="B11" s="20" t="inlineStr">
        <is>
          <t>元/kWh</t>
        </is>
      </c>
      <c r="G11" s="63" t="n">
        <v>0.372</v>
      </c>
      <c r="H11" s="63" t="n">
        <v>0.362</v>
      </c>
      <c r="I11" s="63" t="n">
        <v>0.355</v>
      </c>
      <c r="J11" s="63" t="n">
        <v>0.35</v>
      </c>
      <c r="K11" s="63" t="n">
        <v>0.35</v>
      </c>
    </row>
    <row r="12">
      <c r="A12" s="21" t="inlineStr">
        <is>
          <t>Live 当前情景</t>
        </is>
      </c>
      <c r="B12" s="20" t="inlineStr">
        <is>
          <t>元/kWh</t>
        </is>
      </c>
      <c r="G12" s="64">
        <f>CHOOSE($C$4,G9,G10,G11)</f>
        <v>0.378</v>
      </c>
      <c r="H12" s="64">
        <f>CHOOSE($C$4,H9,H10,H11)</f>
        <v>0.376</v>
      </c>
      <c r="I12" s="64">
        <f>CHOOSE($C$4,I9,I10,I11)</f>
        <v>0.375</v>
      </c>
      <c r="J12" s="64">
        <f>CHOOSE($C$4,J9,J10,J11)</f>
        <v>0.375</v>
      </c>
      <c r="K12" s="64">
        <f>CHOOSE($C$4,K9,K10,K11)</f>
        <v>0.375</v>
      </c>
      <c r="L12" s="20" t="inlineStr">
        <is>
          <t>2024A 0.4151 / 2025A 0.3937（年报 售电业务经营情况）；2026H1 推算约 0.377。牛=机制电价全国推广；熊=市场化继续下行</t>
        </is>
      </c>
    </row>
    <row r="14">
      <c r="A14" s="12" t="inlineStr">
        <is>
          <t>核电存量机组平均利用小时 Nuclear fleet utilisation hours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>
      <c r="A15" s="22" t="inlineStr">
        <is>
          <t xml:space="preserve">  Bull 牛市</t>
        </is>
      </c>
      <c r="B15" s="20" t="inlineStr">
        <is>
          <t>小时</t>
        </is>
      </c>
      <c r="G15" s="18" t="n">
        <v>7800</v>
      </c>
      <c r="H15" s="18" t="n">
        <v>8050</v>
      </c>
      <c r="I15" s="18" t="n">
        <v>8050</v>
      </c>
      <c r="J15" s="18" t="n">
        <v>8050</v>
      </c>
      <c r="K15" s="18" t="n">
        <v>8050</v>
      </c>
    </row>
    <row r="16">
      <c r="A16" s="22" t="inlineStr">
        <is>
          <t xml:space="preserve">  Base 基准</t>
        </is>
      </c>
      <c r="B16" s="20" t="inlineStr">
        <is>
          <t>小时</t>
        </is>
      </c>
      <c r="G16" s="18" t="n">
        <v>7650</v>
      </c>
      <c r="H16" s="18" t="n">
        <v>7950</v>
      </c>
      <c r="I16" s="18" t="n">
        <v>7950</v>
      </c>
      <c r="J16" s="18" t="n">
        <v>7950</v>
      </c>
      <c r="K16" s="18" t="n">
        <v>7950</v>
      </c>
    </row>
    <row r="17">
      <c r="A17" s="22" t="inlineStr">
        <is>
          <t xml:space="preserve">  Bear 熊市</t>
        </is>
      </c>
      <c r="B17" s="20" t="inlineStr">
        <is>
          <t>小时</t>
        </is>
      </c>
      <c r="G17" s="18" t="n">
        <v>7500</v>
      </c>
      <c r="H17" s="18" t="n">
        <v>7750</v>
      </c>
      <c r="I17" s="18" t="n">
        <v>7750</v>
      </c>
      <c r="J17" s="18" t="n">
        <v>7750</v>
      </c>
      <c r="K17" s="18" t="n">
        <v>7750</v>
      </c>
    </row>
    <row r="18">
      <c r="A18" s="21" t="inlineStr">
        <is>
          <t>Live 当前情景</t>
        </is>
      </c>
      <c r="B18" s="20" t="inlineStr">
        <is>
          <t>小时</t>
        </is>
      </c>
      <c r="G18" s="65">
        <f>CHOOSE($C$4,G15,G16,G17)</f>
        <v>7650.0</v>
      </c>
      <c r="H18" s="65">
        <f>CHOOSE($C$4,H15,H16,H17)</f>
        <v>7950.0</v>
      </c>
      <c r="I18" s="65">
        <f>CHOOSE($C$4,I15,I16,I17)</f>
        <v>7950.0</v>
      </c>
      <c r="J18" s="65">
        <f>CHOOSE($C$4,J15,J16,J17)</f>
        <v>7950.0</v>
      </c>
      <c r="K18" s="65">
        <f>CHOOSE($C$4,K15,K16,K17)</f>
        <v>7950.0</v>
      </c>
      <c r="L18" s="20" t="inlineStr">
        <is>
          <t>2023A 7,852 / 2024A 7,710 / 2025A 8,038（年报 发电效率表）；2026H1 3,738h（大修 10 次）；公司 2026 计划核电发电 2,100 亿 kWh</t>
        </is>
      </c>
    </row>
    <row r="20">
      <c r="A20" s="12" t="inlineStr">
        <is>
          <t>新机组投产延迟（年）COD delay vs company schedule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>
      <c r="A21" s="22" t="inlineStr">
        <is>
          <t xml:space="preserve">  Bull 牛市</t>
        </is>
      </c>
      <c r="B21" s="20" t="inlineStr">
        <is>
          <t>年</t>
        </is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</row>
    <row r="22">
      <c r="A22" s="22" t="inlineStr">
        <is>
          <t xml:space="preserve">  Base 基准</t>
        </is>
      </c>
      <c r="B22" s="20" t="inlineStr">
        <is>
          <t>年</t>
        </is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0</v>
      </c>
    </row>
    <row r="23">
      <c r="A23" s="22" t="inlineStr">
        <is>
          <t xml:space="preserve">  Bear 熊市</t>
        </is>
      </c>
      <c r="B23" s="20" t="inlineStr">
        <is>
          <t>年</t>
        </is>
      </c>
      <c r="G23" s="16" t="n">
        <v>1</v>
      </c>
      <c r="H23" s="16" t="n">
        <v>1</v>
      </c>
      <c r="I23" s="16" t="n">
        <v>1</v>
      </c>
      <c r="J23" s="16" t="n">
        <v>1</v>
      </c>
      <c r="K23" s="16" t="n">
        <v>1</v>
      </c>
    </row>
    <row r="24">
      <c r="A24" s="21" t="inlineStr">
        <is>
          <t>Live 当前情景</t>
        </is>
      </c>
      <c r="B24" s="20" t="inlineStr">
        <is>
          <t>年</t>
        </is>
      </c>
      <c r="G24" s="66">
        <f>CHOOSE($C$4,G21,G22,G23)</f>
        <v>0.0</v>
      </c>
      <c r="H24" s="66">
        <f>CHOOSE($C$4,H21,H22,H23)</f>
        <v>0.0</v>
      </c>
      <c r="I24" s="66">
        <f>CHOOSE($C$4,I21,I22,I23)</f>
        <v>0.0</v>
      </c>
      <c r="J24" s="66">
        <f>CHOOSE($C$4,J21,J22,J23)</f>
        <v>0.0</v>
      </c>
      <c r="K24" s="66">
        <f>CHOOSE($C$4,K21,K22,K23)</f>
        <v>0.0</v>
      </c>
      <c r="L24" s="20" t="inlineStr">
        <is>
          <t>公司计划商运时间见 Revenue Model 机组清单（年报 2025 第 17 页）；熊市情景整体推迟 1 年。仅 2026E 列生效</t>
        </is>
      </c>
    </row>
    <row r="26">
      <c r="A26" s="12" t="inlineStr">
        <is>
          <t>投产当年容量计入比例 COD-year capacity weight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>
      <c r="A27" s="22" t="inlineStr">
        <is>
          <t xml:space="preserve">  Bull 牛市</t>
        </is>
      </c>
      <c r="B27" s="20" t="inlineStr">
        <is>
          <t>%</t>
        </is>
      </c>
      <c r="G27" s="32" t="n">
        <v>0.5</v>
      </c>
      <c r="H27" s="32" t="n">
        <v>0.5</v>
      </c>
      <c r="I27" s="32" t="n">
        <v>0.5</v>
      </c>
      <c r="J27" s="32" t="n">
        <v>0.5</v>
      </c>
      <c r="K27" s="32" t="n">
        <v>0.5</v>
      </c>
    </row>
    <row r="28">
      <c r="A28" s="22" t="inlineStr">
        <is>
          <t xml:space="preserve">  Base 基准</t>
        </is>
      </c>
      <c r="B28" s="20" t="inlineStr">
        <is>
          <t>%</t>
        </is>
      </c>
      <c r="G28" s="32" t="n">
        <v>0.4</v>
      </c>
      <c r="H28" s="32" t="n">
        <v>0.4</v>
      </c>
      <c r="I28" s="32" t="n">
        <v>0.4</v>
      </c>
      <c r="J28" s="32" t="n">
        <v>0.4</v>
      </c>
      <c r="K28" s="32" t="n">
        <v>0.4</v>
      </c>
    </row>
    <row r="29">
      <c r="A29" s="22" t="inlineStr">
        <is>
          <t xml:space="preserve">  Bear 熊市</t>
        </is>
      </c>
      <c r="B29" s="20" t="inlineStr">
        <is>
          <t>%</t>
        </is>
      </c>
      <c r="G29" s="32" t="n">
        <v>0.35</v>
      </c>
      <c r="H29" s="32" t="n">
        <v>0.35</v>
      </c>
      <c r="I29" s="32" t="n">
        <v>0.35</v>
      </c>
      <c r="J29" s="32" t="n">
        <v>0.35</v>
      </c>
      <c r="K29" s="32" t="n">
        <v>0.35</v>
      </c>
    </row>
    <row r="30">
      <c r="A30" s="21" t="inlineStr">
        <is>
          <t>Live 当前情景</t>
        </is>
      </c>
      <c r="B30" s="20" t="inlineStr">
        <is>
          <t>%</t>
        </is>
      </c>
      <c r="G30" s="67">
        <f>CHOOSE($C$4,G27,G28,G29)</f>
        <v>0.4</v>
      </c>
      <c r="H30" s="67">
        <f>CHOOSE($C$4,H27,H28,H29)</f>
        <v>0.4</v>
      </c>
      <c r="I30" s="67">
        <f>CHOOSE($C$4,I27,I28,I29)</f>
        <v>0.4</v>
      </c>
      <c r="J30" s="67">
        <f>CHOOSE($C$4,J27,J28,J29)</f>
        <v>0.4</v>
      </c>
      <c r="K30" s="67">
        <f>CHOOSE($C$4,K27,K28,K29)</f>
        <v>0.4</v>
      </c>
      <c r="L30" s="20" t="inlineStr">
        <is>
          <t>新机组投产当年按此比例计入平均装机（投产月份不确定）</t>
        </is>
      </c>
    </row>
    <row r="32">
      <c r="A32" s="12" t="inlineStr">
        <is>
          <t>新能源综合电价（含增值税）Renewables realized tariff incl. VAT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</row>
    <row r="33">
      <c r="A33" s="22" t="inlineStr">
        <is>
          <t xml:space="preserve">  Bull 牛市</t>
        </is>
      </c>
      <c r="B33" s="20" t="inlineStr">
        <is>
          <t>元/kWh</t>
        </is>
      </c>
      <c r="G33" s="63" t="n">
        <v>0.36</v>
      </c>
      <c r="H33" s="63" t="n">
        <v>0.355</v>
      </c>
      <c r="I33" s="63" t="n">
        <v>0.35</v>
      </c>
      <c r="J33" s="63" t="n">
        <v>0.35</v>
      </c>
      <c r="K33" s="63" t="n">
        <v>0.35</v>
      </c>
    </row>
    <row r="34">
      <c r="A34" s="22" t="inlineStr">
        <is>
          <t xml:space="preserve">  Base 基准</t>
        </is>
      </c>
      <c r="B34" s="20" t="inlineStr">
        <is>
          <t>元/kWh</t>
        </is>
      </c>
      <c r="G34" s="63" t="n">
        <v>0.355</v>
      </c>
      <c r="H34" s="63" t="n">
        <v>0.345</v>
      </c>
      <c r="I34" s="63" t="n">
        <v>0.34</v>
      </c>
      <c r="J34" s="63" t="n">
        <v>0.335</v>
      </c>
      <c r="K34" s="63" t="n">
        <v>0.335</v>
      </c>
    </row>
    <row r="35">
      <c r="A35" s="22" t="inlineStr">
        <is>
          <t xml:space="preserve">  Bear 熊市</t>
        </is>
      </c>
      <c r="B35" s="20" t="inlineStr">
        <is>
          <t>元/kWh</t>
        </is>
      </c>
      <c r="G35" s="63" t="n">
        <v>0.345</v>
      </c>
      <c r="H35" s="63" t="n">
        <v>0.33</v>
      </c>
      <c r="I35" s="63" t="n">
        <v>0.32</v>
      </c>
      <c r="J35" s="63" t="n">
        <v>0.315</v>
      </c>
      <c r="K35" s="63" t="n">
        <v>0.315</v>
      </c>
    </row>
    <row r="36">
      <c r="A36" s="21" t="inlineStr">
        <is>
          <t>Live 当前情景</t>
        </is>
      </c>
      <c r="B36" s="20" t="inlineStr">
        <is>
          <t>元/kWh</t>
        </is>
      </c>
      <c r="G36" s="64">
        <f>CHOOSE($C$4,G33,G34,G35)</f>
        <v>0.355</v>
      </c>
      <c r="H36" s="64">
        <f>CHOOSE($C$4,H33,H34,H35)</f>
        <v>0.345</v>
      </c>
      <c r="I36" s="64">
        <f>CHOOSE($C$4,I33,I34,I35)</f>
        <v>0.34</v>
      </c>
      <c r="J36" s="64">
        <f>CHOOSE($C$4,J33,J34,J35)</f>
        <v>0.335</v>
      </c>
      <c r="K36" s="64">
        <f>CHOOSE($C$4,K33,K34,K35)</f>
        <v>0.335</v>
      </c>
      <c r="L36" s="20" t="inlineStr">
        <is>
          <t>2024A 0.4203 / 2025A 0.3732（-11.2%）；136 号文后增量项目全面入市</t>
        </is>
      </c>
    </row>
    <row r="38">
      <c r="A38" s="12" t="inlineStr">
        <is>
          <t>风电利用小时 Wind hours</t>
        </is>
      </c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>
      <c r="A39" s="22" t="inlineStr">
        <is>
          <t xml:space="preserve">  Bull 牛市</t>
        </is>
      </c>
      <c r="B39" s="20" t="inlineStr">
        <is>
          <t>小时</t>
        </is>
      </c>
      <c r="G39" s="18" t="n">
        <v>1880</v>
      </c>
      <c r="H39" s="18" t="n">
        <v>1880</v>
      </c>
      <c r="I39" s="18" t="n">
        <v>1880</v>
      </c>
      <c r="J39" s="18" t="n">
        <v>1880</v>
      </c>
      <c r="K39" s="18" t="n">
        <v>1880</v>
      </c>
    </row>
    <row r="40">
      <c r="A40" s="22" t="inlineStr">
        <is>
          <t xml:space="preserve">  Base 基准</t>
        </is>
      </c>
      <c r="B40" s="20" t="inlineStr">
        <is>
          <t>小时</t>
        </is>
      </c>
      <c r="G40" s="18" t="n">
        <v>1800</v>
      </c>
      <c r="H40" s="18" t="n">
        <v>1800</v>
      </c>
      <c r="I40" s="18" t="n">
        <v>1800</v>
      </c>
      <c r="J40" s="18" t="n">
        <v>1800</v>
      </c>
      <c r="K40" s="18" t="n">
        <v>1800</v>
      </c>
    </row>
    <row r="41">
      <c r="A41" s="22" t="inlineStr">
        <is>
          <t xml:space="preserve">  Bear 熊市</t>
        </is>
      </c>
      <c r="B41" s="20" t="inlineStr">
        <is>
          <t>小时</t>
        </is>
      </c>
      <c r="G41" s="18" t="n">
        <v>1720</v>
      </c>
      <c r="H41" s="18" t="n">
        <v>1720</v>
      </c>
      <c r="I41" s="18" t="n">
        <v>1720</v>
      </c>
      <c r="J41" s="18" t="n">
        <v>1720</v>
      </c>
      <c r="K41" s="18" t="n">
        <v>1720</v>
      </c>
    </row>
    <row r="42">
      <c r="A42" s="21" t="inlineStr">
        <is>
          <t>Live 当前情景</t>
        </is>
      </c>
      <c r="B42" s="20" t="inlineStr">
        <is>
          <t>小时</t>
        </is>
      </c>
      <c r="G42" s="65">
        <f>CHOOSE($C$4,G39,G40,G41)</f>
        <v>1800.0</v>
      </c>
      <c r="H42" s="65">
        <f>CHOOSE($C$4,H39,H40,H41)</f>
        <v>1800.0</v>
      </c>
      <c r="I42" s="65">
        <f>CHOOSE($C$4,I39,I40,I41)</f>
        <v>1800.0</v>
      </c>
      <c r="J42" s="65">
        <f>CHOOSE($C$4,J39,J40,J41)</f>
        <v>1800.0</v>
      </c>
      <c r="K42" s="65">
        <f>CHOOSE($C$4,K39,K40,K41)</f>
        <v>1800.0</v>
      </c>
      <c r="L42" s="20" t="inlineStr">
        <is>
          <t>2025A 推算约 1,928h（2024 年末风电容量按比例估算）；2026H1 风电发电量 -6.09%，弃风上升</t>
        </is>
      </c>
    </row>
    <row r="44">
      <c r="A44" s="12" t="inlineStr">
        <is>
          <t>光伏利用小时 Solar hours</t>
        </is>
      </c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</row>
    <row r="45">
      <c r="A45" s="22" t="inlineStr">
        <is>
          <t xml:space="preserve">  Bull 牛市</t>
        </is>
      </c>
      <c r="B45" s="20" t="inlineStr">
        <is>
          <t>小时</t>
        </is>
      </c>
      <c r="G45" s="18" t="n">
        <v>1100</v>
      </c>
      <c r="H45" s="18" t="n">
        <v>1100</v>
      </c>
      <c r="I45" s="18" t="n">
        <v>1100</v>
      </c>
      <c r="J45" s="18" t="n">
        <v>1100</v>
      </c>
      <c r="K45" s="18" t="n">
        <v>1100</v>
      </c>
    </row>
    <row r="46">
      <c r="A46" s="22" t="inlineStr">
        <is>
          <t xml:space="preserve">  Base 基准</t>
        </is>
      </c>
      <c r="B46" s="20" t="inlineStr">
        <is>
          <t>小时</t>
        </is>
      </c>
      <c r="G46" s="18" t="n">
        <v>1050</v>
      </c>
      <c r="H46" s="18" t="n">
        <v>1050</v>
      </c>
      <c r="I46" s="18" t="n">
        <v>1050</v>
      </c>
      <c r="J46" s="18" t="n">
        <v>1050</v>
      </c>
      <c r="K46" s="18" t="n">
        <v>1050</v>
      </c>
    </row>
    <row r="47">
      <c r="A47" s="22" t="inlineStr">
        <is>
          <t xml:space="preserve">  Bear 熊市</t>
        </is>
      </c>
      <c r="B47" s="20" t="inlineStr">
        <is>
          <t>小时</t>
        </is>
      </c>
      <c r="G47" s="18" t="n">
        <v>1000</v>
      </c>
      <c r="H47" s="18" t="n">
        <v>1000</v>
      </c>
      <c r="I47" s="18" t="n">
        <v>1000</v>
      </c>
      <c r="J47" s="18" t="n">
        <v>1000</v>
      </c>
      <c r="K47" s="18" t="n">
        <v>1000</v>
      </c>
    </row>
    <row r="48">
      <c r="A48" s="21" t="inlineStr">
        <is>
          <t>Live 当前情景</t>
        </is>
      </c>
      <c r="B48" s="20" t="inlineStr">
        <is>
          <t>小时</t>
        </is>
      </c>
      <c r="G48" s="65">
        <f>CHOOSE($C$4,G45,G46,G47)</f>
        <v>1050.0</v>
      </c>
      <c r="H48" s="65">
        <f>CHOOSE($C$4,H45,H46,H47)</f>
        <v>1050.0</v>
      </c>
      <c r="I48" s="65">
        <f>CHOOSE($C$4,I45,I46,I47)</f>
        <v>1050.0</v>
      </c>
      <c r="J48" s="65">
        <f>CHOOSE($C$4,J45,J46,J47)</f>
        <v>1050.0</v>
      </c>
      <c r="K48" s="65">
        <f>CHOOSE($C$4,K45,K46,K47)</f>
        <v>1050.0</v>
      </c>
      <c r="L48" s="20" t="inlineStr">
        <is>
          <t>2025A 推算约 1,126h</t>
        </is>
      </c>
    </row>
    <row r="50">
      <c r="A50" s="12" t="inlineStr">
        <is>
          <t>新能源年新增装机 Renewables capacity additions</t>
        </is>
      </c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</row>
    <row r="51">
      <c r="A51" s="22" t="inlineStr">
        <is>
          <t xml:space="preserve">  Bull 牛市</t>
        </is>
      </c>
      <c r="B51" s="20" t="inlineStr">
        <is>
          <t>万千瓦</t>
        </is>
      </c>
      <c r="G51" s="15" t="n">
        <v>400</v>
      </c>
      <c r="H51" s="15" t="n">
        <v>300</v>
      </c>
      <c r="I51" s="15" t="n">
        <v>300</v>
      </c>
      <c r="J51" s="15" t="n">
        <v>300</v>
      </c>
      <c r="K51" s="15" t="n">
        <v>300</v>
      </c>
    </row>
    <row r="52">
      <c r="A52" s="22" t="inlineStr">
        <is>
          <t xml:space="preserve">  Base 基准</t>
        </is>
      </c>
      <c r="B52" s="20" t="inlineStr">
        <is>
          <t>万千瓦</t>
        </is>
      </c>
      <c r="G52" s="15" t="n">
        <v>350</v>
      </c>
      <c r="H52" s="15" t="n">
        <v>250</v>
      </c>
      <c r="I52" s="15" t="n">
        <v>200</v>
      </c>
      <c r="J52" s="15" t="n">
        <v>200</v>
      </c>
      <c r="K52" s="15" t="n">
        <v>200</v>
      </c>
    </row>
    <row r="53">
      <c r="A53" s="22" t="inlineStr">
        <is>
          <t xml:space="preserve">  Bear 熊市</t>
        </is>
      </c>
      <c r="B53" s="20" t="inlineStr">
        <is>
          <t>万千瓦</t>
        </is>
      </c>
      <c r="G53" s="15" t="n">
        <v>300</v>
      </c>
      <c r="H53" s="15" t="n">
        <v>150</v>
      </c>
      <c r="I53" s="15" t="n">
        <v>100</v>
      </c>
      <c r="J53" s="15" t="n">
        <v>100</v>
      </c>
      <c r="K53" s="15" t="n">
        <v>100</v>
      </c>
    </row>
    <row r="54">
      <c r="A54" s="21" t="inlineStr">
        <is>
          <t>Live 当前情景</t>
        </is>
      </c>
      <c r="B54" s="20" t="inlineStr">
        <is>
          <t>万千瓦</t>
        </is>
      </c>
      <c r="G54" s="29">
        <f>CHOOSE($C$4,G51,G52,G53)</f>
        <v>350.0</v>
      </c>
      <c r="H54" s="29">
        <f>CHOOSE($C$4,H51,H52,H53)</f>
        <v>250.0</v>
      </c>
      <c r="I54" s="29">
        <f>CHOOSE($C$4,I51,I52,I53)</f>
        <v>200.0</v>
      </c>
      <c r="J54" s="29">
        <f>CHOOSE($C$4,J51,J52,J53)</f>
        <v>200.0</v>
      </c>
      <c r="K54" s="29">
        <f>CHOOSE($C$4,K51,K52,K53)</f>
        <v>200.0</v>
      </c>
      <c r="L54" s="20" t="inlineStr">
        <is>
          <t>2025 年新增 404.5 万千瓦；2026H1 已新增 136.3 万千瓦；年末在建 793.17 万千瓦。风电占新增比例见 Revenue Model</t>
        </is>
      </c>
    </row>
    <row r="56">
      <c r="A56" s="12" t="inlineStr">
        <is>
          <t>其他收益（增值税退税等）占核电收入 Other income % nuclear rev.</t>
        </is>
      </c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</row>
    <row r="57">
      <c r="A57" s="22" t="inlineStr">
        <is>
          <t xml:space="preserve">  Bull 牛市</t>
        </is>
      </c>
      <c r="B57" s="20" t="inlineStr">
        <is>
          <t>%</t>
        </is>
      </c>
      <c r="G57" s="32" t="n">
        <v>0.047</v>
      </c>
      <c r="H57" s="32" t="n">
        <v>0.0465</v>
      </c>
      <c r="I57" s="32" t="n">
        <v>0.046</v>
      </c>
      <c r="J57" s="32" t="n">
        <v>0.0455</v>
      </c>
      <c r="K57" s="32" t="n">
        <v>0.045</v>
      </c>
    </row>
    <row r="58">
      <c r="A58" s="22" t="inlineStr">
        <is>
          <t xml:space="preserve">  Base 基准</t>
        </is>
      </c>
      <c r="B58" s="20" t="inlineStr">
        <is>
          <t>%</t>
        </is>
      </c>
      <c r="G58" s="32" t="n">
        <v>0.046</v>
      </c>
      <c r="H58" s="32" t="n">
        <v>0.045</v>
      </c>
      <c r="I58" s="32" t="n">
        <v>0.044</v>
      </c>
      <c r="J58" s="32" t="n">
        <v>0.043</v>
      </c>
      <c r="K58" s="32" t="n">
        <v>0.042</v>
      </c>
    </row>
    <row r="59">
      <c r="A59" s="22" t="inlineStr">
        <is>
          <t xml:space="preserve">  Bear 熊市</t>
        </is>
      </c>
      <c r="B59" s="20" t="inlineStr">
        <is>
          <t>%</t>
        </is>
      </c>
      <c r="G59" s="32" t="n">
        <v>0.045</v>
      </c>
      <c r="H59" s="32" t="n">
        <v>0.043</v>
      </c>
      <c r="I59" s="32" t="n">
        <v>0.041</v>
      </c>
      <c r="J59" s="32" t="n">
        <v>0.039</v>
      </c>
      <c r="K59" s="32" t="n">
        <v>0.037</v>
      </c>
    </row>
    <row r="60">
      <c r="A60" s="21" t="inlineStr">
        <is>
          <t>Live 当前情景</t>
        </is>
      </c>
      <c r="B60" s="20" t="inlineStr">
        <is>
          <t>%</t>
        </is>
      </c>
      <c r="G60" s="67">
        <f>CHOOSE($C$4,G57,G58,G59)</f>
        <v>0.046</v>
      </c>
      <c r="H60" s="67">
        <f>CHOOSE($C$4,H57,H58,H59)</f>
        <v>0.045</v>
      </c>
      <c r="I60" s="67">
        <f>CHOOSE($C$4,I57,I58,I59)</f>
        <v>0.044</v>
      </c>
      <c r="J60" s="67">
        <f>CHOOSE($C$4,J57,J58,J59)</f>
        <v>0.043</v>
      </c>
      <c r="K60" s="67">
        <f>CHOOSE($C$4,K57,K58,K59)</f>
        <v>0.042</v>
      </c>
      <c r="L60" s="20" t="inlineStr">
        <is>
          <t>2025A 31.50/654.5=4.8%；新核准机组退税减半/取消（财税 2025 新政）→ 占比逐步下降</t>
        </is>
      </c>
    </row>
    <row r="62">
      <c r="A62" s="12" t="inlineStr">
        <is>
          <t>核燃料单位成本增速 Nuclear fuel cost/kWh growth</t>
        </is>
      </c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</row>
    <row r="63">
      <c r="A63" s="22" t="inlineStr">
        <is>
          <t xml:space="preserve">  Bull 牛市</t>
        </is>
      </c>
      <c r="B63" s="20" t="inlineStr">
        <is>
          <t>%</t>
        </is>
      </c>
      <c r="G63" s="32" t="n">
        <v>0.02</v>
      </c>
      <c r="H63" s="32" t="n">
        <v>0.02</v>
      </c>
      <c r="I63" s="32" t="n">
        <v>0.02</v>
      </c>
      <c r="J63" s="32" t="n">
        <v>0.02</v>
      </c>
      <c r="K63" s="32" t="n">
        <v>0.02</v>
      </c>
    </row>
    <row r="64">
      <c r="A64" s="22" t="inlineStr">
        <is>
          <t xml:space="preserve">  Base 基准</t>
        </is>
      </c>
      <c r="B64" s="20" t="inlineStr">
        <is>
          <t>%</t>
        </is>
      </c>
      <c r="G64" s="32" t="n">
        <v>0.04</v>
      </c>
      <c r="H64" s="32" t="n">
        <v>0.04</v>
      </c>
      <c r="I64" s="32" t="n">
        <v>0.04</v>
      </c>
      <c r="J64" s="32" t="n">
        <v>0.04</v>
      </c>
      <c r="K64" s="32" t="n">
        <v>0.04</v>
      </c>
    </row>
    <row r="65">
      <c r="A65" s="22" t="inlineStr">
        <is>
          <t xml:space="preserve">  Bear 熊市</t>
        </is>
      </c>
      <c r="B65" s="20" t="inlineStr">
        <is>
          <t>%</t>
        </is>
      </c>
      <c r="G65" s="32" t="n">
        <v>0.07000000000000001</v>
      </c>
      <c r="H65" s="32" t="n">
        <v>0.07000000000000001</v>
      </c>
      <c r="I65" s="32" t="n">
        <v>0.06</v>
      </c>
      <c r="J65" s="32" t="n">
        <v>0.06</v>
      </c>
      <c r="K65" s="32" t="n">
        <v>0.05</v>
      </c>
    </row>
    <row r="66">
      <c r="A66" s="21" t="inlineStr">
        <is>
          <t>Live 当前情景</t>
        </is>
      </c>
      <c r="B66" s="20" t="inlineStr">
        <is>
          <t>%</t>
        </is>
      </c>
      <c r="G66" s="67">
        <f>CHOOSE($C$4,G63,G64,G65)</f>
        <v>0.04</v>
      </c>
      <c r="H66" s="67">
        <f>CHOOSE($C$4,H63,H64,H65)</f>
        <v>0.04</v>
      </c>
      <c r="I66" s="67">
        <f>CHOOSE($C$4,I63,I64,I65)</f>
        <v>0.04</v>
      </c>
      <c r="J66" s="67">
        <f>CHOOSE($C$4,J63,J64,J65)</f>
        <v>0.04</v>
      </c>
      <c r="K66" s="67">
        <f>CHOOSE($C$4,K63,K64,K65)</f>
        <v>0.04</v>
      </c>
      <c r="L66" s="20" t="inlineStr">
        <is>
          <t>2025A 0.0434 元/kWh（成本分析表 87.05 亿 / 2,008 亿 kWh）；中国铀业 2026 长协基价 +42%，长协平滑传导</t>
        </is>
      </c>
    </row>
    <row r="68">
      <c r="A68" s="12" t="inlineStr">
        <is>
          <t>核电资本开支超支 Nuclear capex overrun</t>
        </is>
      </c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</row>
    <row r="69">
      <c r="A69" s="22" t="inlineStr">
        <is>
          <t xml:space="preserve">  Bull 牛市</t>
        </is>
      </c>
      <c r="B69" s="20" t="inlineStr">
        <is>
          <t>%</t>
        </is>
      </c>
      <c r="G69" s="32" t="n">
        <v>0</v>
      </c>
      <c r="H69" s="32" t="n">
        <v>0</v>
      </c>
      <c r="I69" s="32" t="n">
        <v>0</v>
      </c>
      <c r="J69" s="32" t="n">
        <v>0</v>
      </c>
      <c r="K69" s="32" t="n">
        <v>0</v>
      </c>
    </row>
    <row r="70">
      <c r="A70" s="22" t="inlineStr">
        <is>
          <t xml:space="preserve">  Base 基准</t>
        </is>
      </c>
      <c r="B70" s="20" t="inlineStr">
        <is>
          <t>%</t>
        </is>
      </c>
      <c r="G70" s="32" t="n">
        <v>0</v>
      </c>
      <c r="H70" s="32" t="n">
        <v>0</v>
      </c>
      <c r="I70" s="32" t="n">
        <v>0</v>
      </c>
      <c r="J70" s="32" t="n">
        <v>0</v>
      </c>
      <c r="K70" s="32" t="n">
        <v>0</v>
      </c>
    </row>
    <row r="71">
      <c r="A71" s="22" t="inlineStr">
        <is>
          <t xml:space="preserve">  Bear 熊市</t>
        </is>
      </c>
      <c r="B71" s="20" t="inlineStr">
        <is>
          <t>%</t>
        </is>
      </c>
      <c r="G71" s="32" t="n">
        <v>0.05</v>
      </c>
      <c r="H71" s="32" t="n">
        <v>0.05</v>
      </c>
      <c r="I71" s="32" t="n">
        <v>0.05</v>
      </c>
      <c r="J71" s="32" t="n">
        <v>0.05</v>
      </c>
      <c r="K71" s="32" t="n">
        <v>0.05</v>
      </c>
    </row>
    <row r="72">
      <c r="A72" s="21" t="inlineStr">
        <is>
          <t>Live 当前情景</t>
        </is>
      </c>
      <c r="B72" s="20" t="inlineStr">
        <is>
          <t>%</t>
        </is>
      </c>
      <c r="G72" s="67">
        <f>CHOOSE($C$4,G69,G70,G71)</f>
        <v>0.0</v>
      </c>
      <c r="H72" s="67">
        <f>CHOOSE($C$4,H69,H70,H71)</f>
        <v>0.0</v>
      </c>
      <c r="I72" s="67">
        <f>CHOOSE($C$4,I69,I70,I71)</f>
        <v>0.0</v>
      </c>
      <c r="J72" s="67">
        <f>CHOOSE($C$4,J69,J70,J71)</f>
        <v>0.0</v>
      </c>
      <c r="K72" s="67">
        <f>CHOOSE($C$4,K69,K70,K71)</f>
        <v>0.0</v>
      </c>
      <c r="L72" s="20" t="inlineStr">
        <is>
          <t>相对基础资本开支计划的超支比例</t>
        </is>
      </c>
    </row>
    <row r="74">
      <c r="A74" s="68" t="inlineStr">
        <is>
          <t>情景输出（静态快照：分别以 C4=1/2/3 全模型重算后写入。切换 C4 时其余各表实时更新，但本表为静态值，修改假设后需重新生成）</t>
        </is>
      </c>
    </row>
    <row r="75">
      <c r="A75" s="37" t="inlineStr">
        <is>
          <t>指标 Metric</t>
        </is>
      </c>
      <c r="B75" s="37" t="inlineStr"/>
      <c r="C75" s="37" t="inlineStr">
        <is>
          <t>Bull 牛市</t>
        </is>
      </c>
      <c r="D75" s="37" t="inlineStr">
        <is>
          <t>Base 基准</t>
        </is>
      </c>
      <c r="E75" s="37" t="inlineStr">
        <is>
          <t>Bear 熊市</t>
        </is>
      </c>
    </row>
    <row r="76">
      <c r="A76" t="inlineStr">
        <is>
          <t>2030E 营业收入（亿元）</t>
        </is>
      </c>
      <c r="C76" s="15" t="n">
        <v>1257.359678203731</v>
      </c>
      <c r="D76" s="15" t="n">
        <v>1172.276583684616</v>
      </c>
      <c r="E76" s="15" t="n">
        <v>988.3689984140715</v>
      </c>
    </row>
    <row r="77">
      <c r="A77" t="inlineStr">
        <is>
          <t>2026–30E 收入 CAGR（vs 2025A）</t>
        </is>
      </c>
      <c r="C77" s="32" t="n">
        <v>0.08905347070449388</v>
      </c>
      <c r="D77" s="32" t="n">
        <v>0.07389869744013833</v>
      </c>
      <c r="E77" s="32" t="n">
        <v>0.03786560722814802</v>
      </c>
    </row>
    <row r="78">
      <c r="A78" t="inlineStr">
        <is>
          <t>2030E 毛利率</t>
        </is>
      </c>
      <c r="C78" s="32" t="n">
        <v>0.3745652298987774</v>
      </c>
      <c r="D78" s="32" t="n">
        <v>0.3296895267191111</v>
      </c>
      <c r="E78" s="32" t="n">
        <v>0.2553616320904216</v>
      </c>
    </row>
    <row r="79">
      <c r="A79" t="inlineStr">
        <is>
          <t>2030E EBITDA（亿元）</t>
        </is>
      </c>
      <c r="C79" s="15" t="n">
        <v>766.0633391393053</v>
      </c>
      <c r="D79" s="15" t="n">
        <v>672.6250023580407</v>
      </c>
      <c r="E79" s="15" t="n">
        <v>508.7339635140938</v>
      </c>
    </row>
    <row r="80">
      <c r="A80" t="inlineStr">
        <is>
          <t>2030E EBITDA 利润率</t>
        </is>
      </c>
      <c r="C80" s="32" t="n">
        <v>0.6092634847601496</v>
      </c>
      <c r="D80" s="32" t="n">
        <v>0.5737767108201497</v>
      </c>
      <c r="E80" s="32" t="n">
        <v>0.514720680566068</v>
      </c>
    </row>
    <row r="81">
      <c r="A81" t="inlineStr">
        <is>
          <t>2026E 归母净利润（亿元）</t>
        </is>
      </c>
      <c r="C81" s="15" t="n">
        <v>85.12904114110111</v>
      </c>
      <c r="D81" s="15" t="n">
        <v>72.48055406215451</v>
      </c>
      <c r="E81" s="15" t="n">
        <v>59.5521859009868</v>
      </c>
    </row>
    <row r="82">
      <c r="A82" t="inlineStr">
        <is>
          <t>2027E 归母净利润（亿元）</t>
        </is>
      </c>
      <c r="C82" s="15" t="n">
        <v>101.9473206110166</v>
      </c>
      <c r="D82" s="15" t="n">
        <v>82.08650867692502</v>
      </c>
      <c r="E82" s="15" t="n">
        <v>58.00065191737707</v>
      </c>
    </row>
    <row r="83">
      <c r="A83" t="inlineStr">
        <is>
          <t>2030E 归母净利润（亿元）</t>
        </is>
      </c>
      <c r="C83" s="15" t="n">
        <v>131.7136688127541</v>
      </c>
      <c r="D83" s="15" t="n">
        <v>97.59046450360243</v>
      </c>
      <c r="E83" s="15" t="n">
        <v>45.63353460225306</v>
      </c>
    </row>
    <row r="84">
      <c r="A84" t="inlineStr">
        <is>
          <t>2026E EPS（元）</t>
        </is>
      </c>
      <c r="C84" s="69" t="n">
        <v>0.4137001128063815</v>
      </c>
      <c r="D84" s="69" t="n">
        <v>0.352042283621695</v>
      </c>
      <c r="E84" s="69" t="n">
        <v>0.2890201126108355</v>
      </c>
    </row>
    <row r="85">
      <c r="A85" t="inlineStr">
        <is>
          <t>2030E EPS（元）</t>
        </is>
      </c>
      <c r="C85" s="69" t="n">
        <v>0.6407871152030522</v>
      </c>
      <c r="D85" s="69" t="n">
        <v>0.4744460588066805</v>
      </c>
      <c r="E85" s="69" t="n">
        <v>0.2211705888771233</v>
      </c>
    </row>
    <row r="86">
      <c r="A86" t="inlineStr">
        <is>
          <t>2030E FCF（亿元）</t>
        </is>
      </c>
      <c r="C86" s="15" t="n">
        <v>-283.5223103343112</v>
      </c>
      <c r="D86" s="15" t="n">
        <v>-321.5179708823842</v>
      </c>
      <c r="E86" s="15" t="n">
        <v>-494.3042207725845</v>
      </c>
    </row>
    <row r="87">
      <c r="A87" t="inlineStr">
        <is>
          <t>2026–30E 累计 FCF（亿元）</t>
        </is>
      </c>
      <c r="C87" s="15" t="n">
        <v>-1847.19865090338</v>
      </c>
      <c r="D87" s="15" t="n">
        <v>-1952.466471769388</v>
      </c>
      <c r="E87" s="15" t="n">
        <v>-2446.101248039575</v>
      </c>
    </row>
    <row r="88">
      <c r="A88" t="inlineStr">
        <is>
          <t>2030E 资产负债率</t>
        </is>
      </c>
      <c r="C88" s="32" t="n">
        <v>0.68882073137358</v>
      </c>
      <c r="D88" s="32" t="n">
        <v>0.6961859319243959</v>
      </c>
      <c r="E88" s="32" t="n">
        <v>0.7118176302699171</v>
      </c>
    </row>
    <row r="89">
      <c r="A89" t="inlineStr">
        <is>
          <t>2030E 核电年末装机（万千瓦）</t>
        </is>
      </c>
      <c r="C89" s="15" t="n">
        <v>4013.8</v>
      </c>
      <c r="D89" s="15" t="n">
        <v>4013.8</v>
      </c>
      <c r="E89" s="15" t="n">
        <v>3892.3</v>
      </c>
    </row>
    <row r="90">
      <c r="A90" t="inlineStr">
        <is>
          <t>2030E ROE</t>
        </is>
      </c>
      <c r="C90" s="32" t="n">
        <v>0.08586234618240068</v>
      </c>
      <c r="D90" s="32" t="n">
        <v>0.06748175252361745</v>
      </c>
      <c r="E90" s="32" t="n">
        <v>0.03449176978475075</v>
      </c>
    </row>
    <row r="91">
      <c r="A91" t="inlineStr">
        <is>
          <t>DCF 目标价（元）</t>
        </is>
      </c>
      <c r="C91" s="70" t="n">
        <v>13.79803475612386</v>
      </c>
      <c r="D91" s="70" t="n">
        <v>7.488204692969886</v>
      </c>
      <c r="E91" s="70" t="n">
        <v>-2.836669061152188</v>
      </c>
    </row>
    <row r="93">
      <c r="A93" s="71" t="inlineStr">
        <is>
          <t>情景说明 Scenario rationale：</t>
        </is>
      </c>
    </row>
    <row r="94">
      <c r="A94" s="72" t="inlineStr">
        <is>
          <t>Bull 牛市：核电“机制电价/差价合约”2027 年前推广至浙江、江苏、福建，核电综合电价企稳回升至 0.39 元；利用小时恢复至 8,050；新机组按期投产；铀价温和；新能源限电缓解。</t>
        </is>
      </c>
    </row>
    <row r="95">
      <c r="A95" s="72" t="inlineStr">
        <is>
          <t>Base 基准：电价 2026 年再降约 4% 后企稳于 0.375 元（市场化+部分省份机制电价托底）；2026 年大修集中致利用小时 7,750，此后 7,950；新机组按公司计划投产（投产当年计 40%）；燃料成本年增 4%。</t>
        </is>
      </c>
    </row>
    <row r="96">
      <c r="A96" s="72" t="inlineStr">
        <is>
          <t>Bear 熊市：电价持续下行至 0.35 元（无全国性托底机制）；利用小时 7,600–7,750；全部新机组推迟 1 年、资本开支超支 5%；新能源电价降至 0.315 元、利用小时继续下降；铀价长协快速传导（燃料成本年增 5–7%）。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L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60" customWidth="1" min="12" max="12"/>
  </cols>
  <sheetData>
    <row r="1">
      <c r="A1" s="6" t="inlineStr">
        <is>
          <t>DCF 输入 DCF Inputs（供 Task 3 估值使用）</t>
        </is>
      </c>
    </row>
    <row r="2">
      <c r="A2" s="7" t="inlineStr">
        <is>
          <t>单位：亿元人民币（另有注明除外）｜蓝色=硬编码输入　黑色=公式　绿色=跨表链接｜A=实际 E=预测</t>
        </is>
      </c>
    </row>
    <row r="3">
      <c r="A3" s="8" t="inlineStr">
        <is>
          <t>项目 / Line item</t>
        </is>
      </c>
      <c r="B3" s="9" t="inlineStr">
        <is>
          <t>单位</t>
        </is>
      </c>
      <c r="C3" s="10" t="n">
        <v>2022</v>
      </c>
      <c r="D3" s="10" t="n">
        <v>2023</v>
      </c>
      <c r="E3" s="10" t="n">
        <v>2024</v>
      </c>
      <c r="F3" s="10" t="n">
        <v>2025</v>
      </c>
      <c r="G3" s="11" t="n">
        <v>2026</v>
      </c>
      <c r="H3" s="11" t="n">
        <v>2027</v>
      </c>
      <c r="I3" s="11" t="n">
        <v>2028</v>
      </c>
      <c r="J3" s="11" t="n">
        <v>2029</v>
      </c>
      <c r="K3" s="11" t="n">
        <v>2030</v>
      </c>
      <c r="L3" s="9" t="inlineStr">
        <is>
          <t>来源 / 说明</t>
        </is>
      </c>
    </row>
    <row r="6">
      <c r="A6" s="12" t="inlineStr">
        <is>
          <t>无杠杆自由现金流 Unlevered FCF（合并口径）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</row>
    <row r="7">
      <c r="A7" s="22" t="inlineStr">
        <is>
          <t>营业收入</t>
        </is>
      </c>
      <c r="B7" s="20" t="inlineStr">
        <is>
          <t>亿元</t>
        </is>
      </c>
      <c r="C7" s="40">
        <f>'Income Statement'!C7</f>
        <v>712.8560084364</v>
      </c>
      <c r="D7" s="40">
        <f>'Income Statement'!D7</f>
        <v>749.5718026496</v>
      </c>
      <c r="E7" s="40">
        <f>'Income Statement'!E7</f>
        <v>772.7205852664</v>
      </c>
      <c r="F7" s="40">
        <f>'Income Statement'!F7</f>
        <v>820.7549524495</v>
      </c>
      <c r="G7" s="41">
        <f>'Income Statement'!G7</f>
        <v>807.4271718106919</v>
      </c>
      <c r="H7" s="41">
        <f>'Income Statement'!H7</f>
        <v>908.7147854894234</v>
      </c>
      <c r="I7" s="41">
        <f>'Income Statement'!I7</f>
        <v>1014.6738974114321</v>
      </c>
      <c r="J7" s="41">
        <f>'Income Statement'!J7</f>
        <v>1096.123498989183</v>
      </c>
      <c r="K7" s="41">
        <f>'Income Statement'!K7</f>
        <v>1172.2765836846156</v>
      </c>
    </row>
    <row r="8">
      <c r="A8" s="22" t="inlineStr">
        <is>
          <t>EBITDA</t>
        </is>
      </c>
      <c r="B8" s="20" t="inlineStr">
        <is>
          <t>亿元</t>
        </is>
      </c>
      <c r="C8" s="40">
        <f>'Income Statement'!C83</f>
        <v>433.8276652482</v>
      </c>
      <c r="D8" s="40">
        <f>'Income Statement'!D83</f>
        <v>463.52389301230005</v>
      </c>
      <c r="E8" s="40">
        <f>'Income Statement'!E83</f>
        <v>471.24462945159996</v>
      </c>
      <c r="F8" s="40">
        <f>'Income Statement'!F83</f>
        <v>512.5074402772999</v>
      </c>
      <c r="G8" s="41">
        <f>'Income Statement'!G83</f>
        <v>486.2068037745787</v>
      </c>
      <c r="H8" s="41">
        <f>'Income Statement'!H83</f>
        <v>543.5858327532164</v>
      </c>
      <c r="I8" s="41">
        <f>'Income Statement'!I83</f>
        <v>599.0519829873384</v>
      </c>
      <c r="J8" s="41">
        <f>'Income Statement'!J83</f>
        <v>637.953867174155</v>
      </c>
      <c r="K8" s="41">
        <f>'Income Statement'!K83</f>
        <v>672.6250023580407</v>
      </c>
    </row>
    <row r="9">
      <c r="A9" s="22" t="inlineStr">
        <is>
          <t>EBIT（经营口径）</t>
        </is>
      </c>
      <c r="B9" s="20" t="inlineStr">
        <is>
          <t>亿元</t>
        </is>
      </c>
      <c r="C9" s="40">
        <f>'Income Statement'!C82</f>
        <v>275.1445249437</v>
      </c>
      <c r="D9" s="40">
        <f>'Income Statement'!D82</f>
        <v>295.6554833</v>
      </c>
      <c r="E9" s="40">
        <f>'Income Statement'!E82</f>
        <v>288.1489093322</v>
      </c>
      <c r="F9" s="40">
        <f>'Income Statement'!F82</f>
        <v>296.4811329938999</v>
      </c>
      <c r="G9" s="41">
        <f>'Income Statement'!G82</f>
        <v>253.02162682796325</v>
      </c>
      <c r="H9" s="41">
        <f>'Income Statement'!H82</f>
        <v>278.50838749348515</v>
      </c>
      <c r="I9" s="41">
        <f>'Income Statement'!I82</f>
        <v>300.10786602793127</v>
      </c>
      <c r="J9" s="41">
        <f>'Income Statement'!J82</f>
        <v>318.63958172535285</v>
      </c>
      <c r="K9" s="41">
        <f>'Income Statement'!K82</f>
        <v>341.6229865607179</v>
      </c>
    </row>
    <row r="10">
      <c r="A10" s="22" t="inlineStr">
        <is>
          <t>税率</t>
        </is>
      </c>
      <c r="B10" s="20" t="inlineStr">
        <is>
          <t>%</t>
        </is>
      </c>
      <c r="C10" s="73">
        <f>'Income Statement'!C63</f>
        <v>0.16591481862212526</v>
      </c>
      <c r="D10" s="73">
        <f>'Income Statement'!D63</f>
        <v>0.15536802334808628</v>
      </c>
      <c r="E10" s="73">
        <f>'Income Statement'!E63</f>
        <v>0.266390824761719</v>
      </c>
      <c r="F10" s="73">
        <f>'Income Statement'!F63</f>
        <v>0.22836853609845256</v>
      </c>
      <c r="G10" s="74">
        <f>'Income Statement'!G63</f>
        <v>0.235</v>
      </c>
      <c r="H10" s="74">
        <f>'Income Statement'!H63</f>
        <v>0.235</v>
      </c>
      <c r="I10" s="74">
        <f>'Income Statement'!I63</f>
        <v>0.235</v>
      </c>
      <c r="J10" s="74">
        <f>'Income Statement'!J63</f>
        <v>0.235</v>
      </c>
      <c r="K10" s="74">
        <f>'Income Statement'!K63</f>
        <v>0.235</v>
      </c>
    </row>
    <row r="11">
      <c r="A11" s="21" t="inlineStr">
        <is>
          <t>NOPAT</t>
        </is>
      </c>
      <c r="B11" s="20" t="inlineStr">
        <is>
          <t>亿元</t>
        </is>
      </c>
      <c r="C11" s="28">
        <f>C9*(1-C10)</f>
        <v>229.49397099279517</v>
      </c>
      <c r="D11" s="28">
        <f>D9*(1-D10)</f>
        <v>249.72007526765586</v>
      </c>
      <c r="E11" s="28">
        <f>E9*(1-E10)</f>
        <v>211.38868372100544</v>
      </c>
      <c r="F11" s="28">
        <f>F9*(1-F10)</f>
        <v>228.77417067127237</v>
      </c>
      <c r="G11" s="29">
        <f>G9*(1-G10)</f>
        <v>193.5615445233919</v>
      </c>
      <c r="H11" s="29">
        <f>H9*(1-H10)</f>
        <v>213.05891643251613</v>
      </c>
      <c r="I11" s="29">
        <f>I9*(1-I10)</f>
        <v>229.58251751136743</v>
      </c>
      <c r="J11" s="29">
        <f>J9*(1-J10)</f>
        <v>243.75928001989493</v>
      </c>
      <c r="K11" s="29">
        <f>K9*(1-K10)</f>
        <v>261.3415847189492</v>
      </c>
    </row>
    <row r="12">
      <c r="A12" s="22" t="inlineStr">
        <is>
          <t>加：折旧摊销</t>
        </is>
      </c>
      <c r="B12" s="20" t="inlineStr">
        <is>
          <t>亿元</t>
        </is>
      </c>
      <c r="C12" s="40">
        <f>'Income Statement'!C81</f>
        <v>158.6831403045</v>
      </c>
      <c r="D12" s="40">
        <f>'Income Statement'!D81</f>
        <v>167.8684097123</v>
      </c>
      <c r="E12" s="40">
        <f>'Income Statement'!E81</f>
        <v>183.0957201194</v>
      </c>
      <c r="F12" s="40">
        <f>'Income Statement'!F81</f>
        <v>216.0263072834</v>
      </c>
      <c r="G12" s="41">
        <f>'Income Statement'!G81</f>
        <v>233.18517694661546</v>
      </c>
      <c r="H12" s="41">
        <f>'Income Statement'!H81</f>
        <v>265.07744525973123</v>
      </c>
      <c r="I12" s="41">
        <f>'Income Statement'!I81</f>
        <v>298.94411695940715</v>
      </c>
      <c r="J12" s="41">
        <f>'Income Statement'!J81</f>
        <v>319.3142854488021</v>
      </c>
      <c r="K12" s="41">
        <f>'Income Statement'!K81</f>
        <v>331.00201579732277</v>
      </c>
    </row>
    <row r="13">
      <c r="A13" s="22" t="inlineStr">
        <is>
          <t>减：资本开支</t>
        </is>
      </c>
      <c r="B13" s="20" t="inlineStr">
        <is>
          <t>亿元</t>
        </is>
      </c>
      <c r="C13" s="40">
        <f>'Cash Flow'!C27</f>
        <v>-505.0969059717</v>
      </c>
      <c r="D13" s="40">
        <f>'Cash Flow'!D27</f>
        <v>-671.0034647059999</v>
      </c>
      <c r="E13" s="40">
        <f>'Cash Flow'!E27</f>
        <v>-907.0832409621</v>
      </c>
      <c r="F13" s="40">
        <f>'Cash Flow'!F27</f>
        <v>-936.8363814511</v>
      </c>
      <c r="G13" s="41">
        <f>'Cash Flow'!G27</f>
        <v>-851.6</v>
      </c>
      <c r="H13" s="41">
        <f>'Cash Flow'!H27</f>
        <v>-857.6</v>
      </c>
      <c r="I13" s="41">
        <f>'Cash Flow'!I27</f>
        <v>-880.6</v>
      </c>
      <c r="J13" s="41">
        <f>'Cash Flow'!J27</f>
        <v>-900.6</v>
      </c>
      <c r="K13" s="41">
        <f>'Cash Flow'!K27</f>
        <v>-920.6</v>
      </c>
    </row>
    <row r="14">
      <c r="A14" s="22" t="inlineStr">
        <is>
          <t>减：营运资本增加</t>
        </is>
      </c>
      <c r="B14" s="20" t="inlineStr">
        <is>
          <t>亿元</t>
        </is>
      </c>
      <c r="C14" s="25">
        <f>'Cash Flow'!C14+'Cash Flow'!C15+'Cash Flow'!C16</f>
        <v>60.7957184478</v>
      </c>
      <c r="D14" s="25">
        <f>'Cash Flow'!D14+'Cash Flow'!D15+'Cash Flow'!D16</f>
        <v>-5.690042002400006</v>
      </c>
      <c r="E14" s="25">
        <f>'Cash Flow'!E14+'Cash Flow'!E15+'Cash Flow'!E16</f>
        <v>-13.335369709100007</v>
      </c>
      <c r="F14" s="25">
        <f>'Cash Flow'!F14+'Cash Flow'!F15+'Cash Flow'!F16</f>
        <v>-94.53369850989999</v>
      </c>
      <c r="G14" s="23">
        <f>'Cash Flow'!G14+'Cash Flow'!G15+'Cash Flow'!G16</f>
        <v>-54.24960714408388</v>
      </c>
      <c r="H14" s="23">
        <f>'Cash Flow'!H14+'Cash Flow'!H15+'Cash Flow'!H16</f>
        <v>-84.75082207978309</v>
      </c>
      <c r="I14" s="23">
        <f>'Cash Flow'!I14+'Cash Flow'!I15+'Cash Flow'!I16</f>
        <v>-45.0196080258609</v>
      </c>
      <c r="J14" s="23">
        <f>'Cash Flow'!J14+'Cash Flow'!J15+'Cash Flow'!J16</f>
        <v>-59.93607672750478</v>
      </c>
      <c r="K14" s="23">
        <f>'Cash Flow'!K14+'Cash Flow'!K15+'Cash Flow'!K16</f>
        <v>-24.199984230745557</v>
      </c>
    </row>
    <row r="15">
      <c r="A15" s="21" t="inlineStr">
        <is>
          <t>无杠杆自由现金流 UFCF</t>
        </is>
      </c>
      <c r="B15" s="20" t="inlineStr">
        <is>
          <t>亿元</t>
        </is>
      </c>
      <c r="C15" s="28">
        <f>C11+C12+C13+C14</f>
        <v>-56.12407622660484</v>
      </c>
      <c r="D15" s="28">
        <f>D11+D12+D13+D14</f>
        <v>-259.10502172844406</v>
      </c>
      <c r="E15" s="28">
        <f>E11+E12+E13+E14</f>
        <v>-525.9342068307947</v>
      </c>
      <c r="F15" s="28">
        <f>F11+F12+F13+F14</f>
        <v>-586.5696020063276</v>
      </c>
      <c r="G15" s="29">
        <f>G11+G12+G13+G14</f>
        <v>-479.10288567407656</v>
      </c>
      <c r="H15" s="29">
        <f>H11+H12+H13+H14</f>
        <v>-464.2144603875357</v>
      </c>
      <c r="I15" s="29">
        <f>I11+I12+I13+I14</f>
        <v>-397.0929735550864</v>
      </c>
      <c r="J15" s="29">
        <f>J11+J12+J13+J14</f>
        <v>-397.4625112588078</v>
      </c>
      <c r="K15" s="29">
        <f>K11+K12+K13+K14</f>
        <v>-352.4563837144736</v>
      </c>
    </row>
    <row r="16">
      <c r="A16" s="22" t="inlineStr">
        <is>
          <t>少数股东损益占比（用于折算归母价值）</t>
        </is>
      </c>
      <c r="B16" s="20" t="inlineStr">
        <is>
          <t>%</t>
        </is>
      </c>
      <c r="C16" s="73">
        <f>'Income Statement'!C66</f>
        <v>0.4479921364247233</v>
      </c>
      <c r="D16" s="73">
        <f>'Income Statement'!D66</f>
        <v>0.4526797025949806</v>
      </c>
      <c r="E16" s="73">
        <f>'Income Statement'!E66</f>
        <v>0.4697461703004662</v>
      </c>
      <c r="F16" s="73">
        <f>'Income Statement'!F66</f>
        <v>0.48225306336002494</v>
      </c>
      <c r="G16" s="74">
        <f>'Income Statement'!G66</f>
        <v>0.485</v>
      </c>
      <c r="H16" s="74">
        <f>'Income Statement'!H66</f>
        <v>0.485</v>
      </c>
      <c r="I16" s="74">
        <f>'Income Statement'!I66</f>
        <v>0.485</v>
      </c>
      <c r="J16" s="74">
        <f>'Income Statement'!J66</f>
        <v>0.485</v>
      </c>
      <c r="K16" s="74">
        <f>'Income Statement'!K66</f>
        <v>0.485</v>
      </c>
    </row>
    <row r="18">
      <c r="A18" s="12" t="inlineStr">
        <is>
          <t>股权价值桥 Equity bridge items（年末）</t>
        </is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>
      <c r="A19" s="22" t="inlineStr">
        <is>
          <t>有息负债合计</t>
        </is>
      </c>
      <c r="B19" s="20" t="inlineStr">
        <is>
          <t>亿元</t>
        </is>
      </c>
      <c r="C19" s="40">
        <f>'Balance Sheet'!C77</f>
        <v>2590.8402899960997</v>
      </c>
      <c r="D19" s="40">
        <f>'Balance Sheet'!D77</f>
        <v>3162.5155270557007</v>
      </c>
      <c r="E19" s="40">
        <f>'Balance Sheet'!E77</f>
        <v>3838.7040428147</v>
      </c>
      <c r="F19" s="40">
        <f>'Balance Sheet'!F77</f>
        <v>4450.9221140606005</v>
      </c>
      <c r="G19" s="41">
        <f>'Balance Sheet'!G77</f>
        <v>4947.578338578295</v>
      </c>
      <c r="H19" s="41">
        <f>'Balance Sheet'!H77</f>
        <v>5457.2732554748245</v>
      </c>
      <c r="I19" s="41">
        <f>'Balance Sheet'!I77</f>
        <v>5912.831589138977</v>
      </c>
      <c r="J19" s="41">
        <f>'Balance Sheet'!J77</f>
        <v>6371.120080512703</v>
      </c>
      <c r="K19" s="41">
        <f>'Balance Sheet'!K77</f>
        <v>6792.7151995874865</v>
      </c>
    </row>
    <row r="20">
      <c r="A20" s="22" t="inlineStr">
        <is>
          <t>货币资金</t>
        </is>
      </c>
      <c r="B20" s="20" t="inlineStr">
        <is>
          <t>亿元</t>
        </is>
      </c>
      <c r="C20" s="40">
        <f>'Balance Sheet'!C7</f>
        <v>161.6167150214</v>
      </c>
      <c r="D20" s="40">
        <f>'Balance Sheet'!D7</f>
        <v>97.73819118860001</v>
      </c>
      <c r="E20" s="40">
        <f>'Balance Sheet'!E7</f>
        <v>197.3801743885</v>
      </c>
      <c r="F20" s="40">
        <f>'Balance Sheet'!F7</f>
        <v>155.8164274658</v>
      </c>
      <c r="G20" s="41">
        <f>'Balance Sheet'!G7</f>
        <v>145.33689092592445</v>
      </c>
      <c r="H20" s="41">
        <f>'Balance Sheet'!H7</f>
        <v>163.56866138809627</v>
      </c>
      <c r="I20" s="41">
        <f>'Balance Sheet'!I7</f>
        <v>182.6413015340577</v>
      </c>
      <c r="J20" s="41">
        <f>'Balance Sheet'!J7</f>
        <v>197.3022298180529</v>
      </c>
      <c r="K20" s="41">
        <f>'Balance Sheet'!K7</f>
        <v>211.00978506323085</v>
      </c>
    </row>
    <row r="21">
      <c r="A21" s="22" t="inlineStr">
        <is>
          <t>净负债</t>
        </is>
      </c>
      <c r="B21" s="20" t="inlineStr">
        <is>
          <t>亿元</t>
        </is>
      </c>
      <c r="C21" s="40">
        <f>'Balance Sheet'!C78</f>
        <v>2429.2235749746997</v>
      </c>
      <c r="D21" s="40">
        <f>'Balance Sheet'!D78</f>
        <v>3064.7773358671006</v>
      </c>
      <c r="E21" s="40">
        <f>'Balance Sheet'!E78</f>
        <v>3641.3238684262</v>
      </c>
      <c r="F21" s="40">
        <f>'Balance Sheet'!F78</f>
        <v>4295.1056865948</v>
      </c>
      <c r="G21" s="41">
        <f>'Balance Sheet'!G78</f>
        <v>4802.241447652371</v>
      </c>
      <c r="H21" s="41">
        <f>'Balance Sheet'!H78</f>
        <v>5293.704594086728</v>
      </c>
      <c r="I21" s="41">
        <f>'Balance Sheet'!I78</f>
        <v>5730.190287604919</v>
      </c>
      <c r="J21" s="41">
        <f>'Balance Sheet'!J78</f>
        <v>6173.81785069465</v>
      </c>
      <c r="K21" s="41">
        <f>'Balance Sheet'!K78</f>
        <v>6581.7054145242555</v>
      </c>
    </row>
    <row r="22">
      <c r="A22" s="22" t="inlineStr">
        <is>
          <t>少数股东权益（账面）</t>
        </is>
      </c>
      <c r="B22" s="20" t="inlineStr">
        <is>
          <t>亿元</t>
        </is>
      </c>
      <c r="C22" s="40">
        <f>'Balance Sheet'!C58</f>
        <v>592.2813737446</v>
      </c>
      <c r="D22" s="40">
        <f>'Balance Sheet'!D58</f>
        <v>718.4837905925</v>
      </c>
      <c r="E22" s="40">
        <f>'Balance Sheet'!E58</f>
        <v>991.5093206241</v>
      </c>
      <c r="F22" s="40">
        <f>'Balance Sheet'!F58</f>
        <v>1135.0813920631</v>
      </c>
      <c r="G22" s="41">
        <f>'Balance Sheet'!G58</f>
        <v>1276.473069235972</v>
      </c>
      <c r="H22" s="41">
        <f>'Balance Sheet'!H58</f>
        <v>1420.574023297451</v>
      </c>
      <c r="I22" s="41">
        <f>'Balance Sheet'!I58</f>
        <v>1568.8934204796037</v>
      </c>
      <c r="J22" s="41">
        <f>'Balance Sheet'!J58</f>
        <v>1721.1822745209706</v>
      </c>
      <c r="K22" s="41">
        <f>'Balance Sheet'!K58</f>
        <v>1877.6533911362121</v>
      </c>
    </row>
    <row r="23">
      <c r="A23" s="22" t="inlineStr">
        <is>
          <t>永续债</t>
        </is>
      </c>
      <c r="B23" s="20" t="inlineStr">
        <is>
          <t>亿元</t>
        </is>
      </c>
      <c r="C23" s="40">
        <f>'Balance Sheet'!C52</f>
        <v>60.0</v>
      </c>
      <c r="D23" s="40">
        <f>'Balance Sheet'!D52</f>
        <v>10.0</v>
      </c>
      <c r="E23" s="40">
        <f>'Balance Sheet'!E52</f>
        <v>10.0</v>
      </c>
      <c r="F23" s="40">
        <f>'Balance Sheet'!F52</f>
        <v>10.0</v>
      </c>
      <c r="G23" s="41">
        <f>'Balance Sheet'!G52</f>
        <v>10.0</v>
      </c>
      <c r="H23" s="41">
        <f>'Balance Sheet'!H52</f>
        <v>10.0</v>
      </c>
      <c r="I23" s="41">
        <f>'Balance Sheet'!I52</f>
        <v>10.0</v>
      </c>
      <c r="J23" s="41">
        <f>'Balance Sheet'!J52</f>
        <v>10.0</v>
      </c>
      <c r="K23" s="41">
        <f>'Balance Sheet'!K52</f>
        <v>10.0</v>
      </c>
    </row>
    <row r="24">
      <c r="A24" s="22" t="inlineStr">
        <is>
          <t>长期股权投资</t>
        </is>
      </c>
      <c r="B24" s="20" t="inlineStr">
        <is>
          <t>亿元</t>
        </is>
      </c>
      <c r="C24" s="40">
        <f>'Balance Sheet'!C18</f>
        <v>56.8458893969</v>
      </c>
      <c r="D24" s="40">
        <f>'Balance Sheet'!D18</f>
        <v>75.7996190273</v>
      </c>
      <c r="E24" s="40">
        <f>'Balance Sheet'!E18</f>
        <v>84.1116302419</v>
      </c>
      <c r="F24" s="40">
        <f>'Balance Sheet'!F18</f>
        <v>103.8528852432</v>
      </c>
      <c r="G24" s="41">
        <f>'Balance Sheet'!G18</f>
        <v>120.30760022210251</v>
      </c>
      <c r="H24" s="41">
        <f>'Balance Sheet'!H18</f>
        <v>136.83505094995013</v>
      </c>
      <c r="I24" s="41">
        <f>'Balance Sheet'!I18</f>
        <v>153.43887421419015</v>
      </c>
      <c r="J24" s="41">
        <f>'Balance Sheet'!J18</f>
        <v>170.12288864164216</v>
      </c>
      <c r="K24" s="41">
        <f>'Balance Sheet'!K18</f>
        <v>186.89110379046676</v>
      </c>
    </row>
    <row r="25">
      <c r="A25" s="22" t="inlineStr">
        <is>
          <t>归母净资产</t>
        </is>
      </c>
      <c r="B25" s="20" t="inlineStr">
        <is>
          <t>亿元</t>
        </is>
      </c>
      <c r="C25" s="40">
        <f>'Balance Sheet'!C57</f>
        <v>887.3298436580001</v>
      </c>
      <c r="D25" s="40">
        <f>'Balance Sheet'!D57</f>
        <v>909.496236321</v>
      </c>
      <c r="E25" s="40">
        <f>'Balance Sheet'!E57</f>
        <v>1102.1702778166</v>
      </c>
      <c r="F25" s="40">
        <f>'Balance Sheet'!F57</f>
        <v>1187.1760589386</v>
      </c>
      <c r="G25" s="41">
        <f>'Balance Sheet'!G57</f>
        <v>1222.4677658845294</v>
      </c>
      <c r="H25" s="41">
        <f>'Balance Sheet'!H57</f>
        <v>1275.4044929365925</v>
      </c>
      <c r="I25" s="41">
        <f>'Balance Sheet'!I57</f>
        <v>1328.578716566943</v>
      </c>
      <c r="J25" s="41">
        <f>'Balance Sheet'!J57</f>
        <v>1385.268105142</v>
      </c>
      <c r="K25" s="41">
        <f>'Balance Sheet'!K57</f>
        <v>1446.1756082794004</v>
      </c>
    </row>
    <row r="26">
      <c r="A26" s="22" t="inlineStr">
        <is>
          <t>股本（剔除库存股）</t>
        </is>
      </c>
      <c r="B26" s="20" t="inlineStr">
        <is>
          <t>亿股</t>
        </is>
      </c>
      <c r="F26" s="49" t="n">
        <v>205.14</v>
      </c>
      <c r="G26" s="75">
        <f>'Income Statement'!G74</f>
        <v>205.14</v>
      </c>
      <c r="H26" s="75">
        <f>'Income Statement'!H74</f>
        <v>205.14</v>
      </c>
      <c r="I26" s="75">
        <f>'Income Statement'!I74</f>
        <v>205.14</v>
      </c>
      <c r="J26" s="75">
        <f>'Income Statement'!J74</f>
        <v>205.14</v>
      </c>
      <c r="K26" s="75">
        <f>'Income Statement'!K74</f>
        <v>205.14</v>
      </c>
    </row>
    <row r="27">
      <c r="A27" s="22" t="inlineStr">
        <is>
          <t>每股归母净资产（不含永续债）</t>
        </is>
      </c>
      <c r="B27" s="20" t="inlineStr">
        <is>
          <t>元/股</t>
        </is>
      </c>
      <c r="F27" s="76">
        <f>(F25-F23)/F26</f>
        <v>5.7384033291342496</v>
      </c>
      <c r="G27" s="77">
        <f>(G25-G23)/G26</f>
        <v>5.91044050835785</v>
      </c>
      <c r="H27" s="77">
        <f>(H25-H23)/H26</f>
        <v>6.16849221476354</v>
      </c>
      <c r="I27" s="77">
        <f>(I25-I23)/I26</f>
        <v>6.427701650418949</v>
      </c>
      <c r="J27" s="77">
        <f>(J25-J23)/J26</f>
        <v>6.704046529891781</v>
      </c>
      <c r="K27" s="77">
        <f>(K25-K23)/K26</f>
        <v>7.000953535533784</v>
      </c>
    </row>
    <row r="29">
      <c r="A29" s="12" t="inlineStr">
        <is>
          <t>市场数据 Market data（2026-09-24）</t>
        </is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0">
      <c r="A30" s="22" t="inlineStr">
        <is>
          <t>股价</t>
        </is>
      </c>
      <c r="B30" s="20" t="inlineStr">
        <is>
          <t>元/股</t>
        </is>
      </c>
      <c r="F30" s="78" t="n">
        <v>8.9</v>
      </c>
      <c r="L30" s="20" t="inlineStr">
        <is>
          <t>同花顺 F10（2026-09-24 收盘），Task 1 [S18]</t>
        </is>
      </c>
    </row>
    <row r="31">
      <c r="A31" s="22" t="inlineStr">
        <is>
          <t>市值</t>
        </is>
      </c>
      <c r="B31" s="20" t="inlineStr">
        <is>
          <t>亿元</t>
        </is>
      </c>
      <c r="F31" s="25">
        <f>F30*F26</f>
        <v>1825.7459999999999</v>
      </c>
    </row>
    <row r="32">
      <c r="A32" s="22" t="inlineStr">
        <is>
          <t>市盈率（股价/EPS）</t>
        </is>
      </c>
      <c r="B32" s="20" t="inlineStr">
        <is>
          <t>x</t>
        </is>
      </c>
      <c r="F32" s="58">
        <f>$F$30/'Income Statement'!F75</f>
        <v>19.646799116997794</v>
      </c>
      <c r="G32" s="59">
        <f>$F$30/'Income Statement'!G75</f>
        <v>25.281054049643508</v>
      </c>
      <c r="H32" s="59">
        <f>$F$30/'Income Statement'!H75</f>
        <v>22.313111528426344</v>
      </c>
      <c r="I32" s="59">
        <f>$F$30/'Income Statement'!I75</f>
        <v>21.253381970818655</v>
      </c>
      <c r="J32" s="59">
        <f>$F$30/'Income Statement'!J75</f>
        <v>20.051926246885433</v>
      </c>
      <c r="K32" s="59">
        <f>$F$30/'Income Statement'!K75</f>
        <v>18.758718372295355</v>
      </c>
    </row>
    <row r="33">
      <c r="A33" s="22" t="inlineStr">
        <is>
          <t>市净率</t>
        </is>
      </c>
      <c r="B33" s="20" t="inlineStr">
        <is>
          <t>x</t>
        </is>
      </c>
      <c r="F33" s="79">
        <f>$F$30/F27</f>
        <v>1.550954070240082</v>
      </c>
      <c r="G33" s="80">
        <f>$F$30/G27</f>
        <v>1.505809928619477</v>
      </c>
      <c r="H33" s="80">
        <f>$F$30/H27</f>
        <v>1.4428161194236295</v>
      </c>
      <c r="I33" s="80">
        <f>$F$30/I27</f>
        <v>1.3846317834960356</v>
      </c>
      <c r="J33" s="80">
        <f>$F$30/J27</f>
        <v>1.3275564183984963</v>
      </c>
      <c r="K33" s="80">
        <f>$F$30/K27</f>
        <v>1.2712554018288345</v>
      </c>
    </row>
    <row r="34">
      <c r="A34" s="22" t="inlineStr">
        <is>
          <t>股息率</t>
        </is>
      </c>
      <c r="B34" s="20" t="inlineStr">
        <is>
          <t>%</t>
        </is>
      </c>
      <c r="G34" s="36">
        <f>'Income Statement'!G78/$F$30</f>
        <v>0.015822125106593032</v>
      </c>
      <c r="H34" s="36">
        <f>'Income Statement'!H78/$F$30</f>
        <v>0.01792667954401653</v>
      </c>
      <c r="I34" s="36">
        <f>'Income Statement'!I78/$F$30</f>
        <v>0.0188205340942542</v>
      </c>
      <c r="J34" s="36">
        <f>'Income Statement'!J78/$F$30</f>
        <v>0.019948208220750368</v>
      </c>
      <c r="K34" s="36">
        <f>'Income Statement'!K78/$F$30</f>
        <v>0.021323418373333954</v>
      </c>
    </row>
    <row r="35">
      <c r="A35" s="22" t="inlineStr">
        <is>
          <t>EV/EBITDA（EV=市值+净负债+少数股东权益+永续债−长期股权投资）</t>
        </is>
      </c>
      <c r="B35" s="20" t="inlineStr">
        <is>
          <t>x</t>
        </is>
      </c>
      <c r="F35" s="58">
        <f>(F31+F21+F22+F23-F24)/F8</f>
        <v>13.9745877436229</v>
      </c>
      <c r="G35" s="59">
        <f>($F$31+G21+G22+G23-G24)/G8</f>
        <v>16.030530334330457</v>
      </c>
      <c r="H35" s="59">
        <f>($F$31+H21+H22+H23-H24)/H8</f>
        <v>15.477205363911219</v>
      </c>
      <c r="I35" s="59">
        <f>($F$31+I21+I22+I23-I24)/I8</f>
        <v>14.992673572470524</v>
      </c>
      <c r="J35" s="59">
        <f>($F$31+J21+J22+J23-J24)/J8</f>
        <v>14.986386521839242</v>
      </c>
      <c r="K35" s="59">
        <f>($F$31+K21+K22+K23-K24)/K8</f>
        <v>15.028007681001073</v>
      </c>
    </row>
    <row r="37">
      <c r="A37" s="12" t="inlineStr">
        <is>
          <t>终值年指标 Terminal-year metrics（2030E）</t>
        </is>
      </c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</row>
    <row r="38">
      <c r="A38" s="22" t="inlineStr">
        <is>
          <t>2030E 营业收入</t>
        </is>
      </c>
      <c r="B38" s="20" t="inlineStr">
        <is>
          <t>亿元</t>
        </is>
      </c>
      <c r="K38" s="41">
        <f>'Income Statement'!K7</f>
        <v>1172.2765836846156</v>
      </c>
    </row>
    <row r="39">
      <c r="A39" s="22" t="inlineStr">
        <is>
          <t>2030E EBITDA</t>
        </is>
      </c>
      <c r="B39" s="20" t="inlineStr">
        <is>
          <t>亿元</t>
        </is>
      </c>
      <c r="K39" s="41">
        <f>'Income Statement'!K83</f>
        <v>672.6250023580407</v>
      </c>
    </row>
    <row r="40">
      <c r="A40" s="22" t="inlineStr">
        <is>
          <t>2030E EBIT</t>
        </is>
      </c>
      <c r="B40" s="20" t="inlineStr">
        <is>
          <t>亿元</t>
        </is>
      </c>
      <c r="K40" s="41">
        <f>'Income Statement'!K82</f>
        <v>341.6229865607179</v>
      </c>
    </row>
    <row r="41">
      <c r="A41" s="22" t="inlineStr">
        <is>
          <t>2030E UFCF</t>
        </is>
      </c>
      <c r="B41" s="20" t="inlineStr">
        <is>
          <t>亿元</t>
        </is>
      </c>
      <c r="K41" s="23">
        <f>K15</f>
        <v>-352.4563837144736</v>
      </c>
    </row>
    <row r="42">
      <c r="A42" s="22" t="inlineStr">
        <is>
          <t>2030E 归母净利润</t>
        </is>
      </c>
      <c r="B42" s="20" t="inlineStr">
        <is>
          <t>亿元</t>
        </is>
      </c>
      <c r="K42" s="41">
        <f>'Income Statement'!K68</f>
        <v>97.59046450360243</v>
      </c>
    </row>
    <row r="43">
      <c r="A43" s="22" t="inlineStr">
        <is>
          <t>2030E 折旧摊销</t>
        </is>
      </c>
      <c r="B43" s="20" t="inlineStr">
        <is>
          <t>亿元</t>
        </is>
      </c>
      <c r="K43" s="41">
        <f>'Income Statement'!K81</f>
        <v>331.00201579732277</v>
      </c>
    </row>
    <row r="44">
      <c r="A44" s="7" t="inlineStr">
        <is>
          <t>注：2030E 资本开支仍处于建设高峰（UFCF 为负），终值不宜直接以 2030E UFCF 永续化；Task 3 建议采用：①延长至机组建成后的稳态期（维护性资本开支≈折旧），或 ②EV/EBITDA、PE、PB 及股利折现交叉验证。</t>
        </is>
      </c>
    </row>
    <row r="45">
      <c r="A45" s="7" t="inlineStr">
        <is>
          <t>少数股东占净利润约 48%：合并口径 DCF 得到的企业价值须扣除少数股东权益价值（建议按少数股东损益×归母 PE 或账面值×PB 估算），再扣净负债、永续债，加长期股权投资。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50" customWidth="1" min="23" max="23"/>
  </cols>
  <sheetData>
    <row r="1">
      <c r="A1" s="6" t="inlineStr">
        <is>
          <t>现金流折现 DCF — 三阶段（2026–30E 模型明细｜2031–45E 在建及核准机组投产后延伸｜终值）</t>
        </is>
      </c>
    </row>
    <row r="2">
      <c r="A2" s="7" t="inlineStr">
        <is>
          <t>单位：亿元人民币（另有注明除外）｜蓝色=输入　黑色=公式　绿色=跨表链接</t>
        </is>
      </c>
    </row>
    <row r="4">
      <c r="A4" s="68" t="inlineStr">
        <is>
          <t>A. 资本成本 WACC</t>
        </is>
      </c>
    </row>
    <row r="5">
      <c r="A5" t="inlineStr">
        <is>
          <t>无风险利率（10 年期国债）</t>
        </is>
      </c>
      <c r="C5" s="81" t="n">
        <v>0.0168</v>
      </c>
      <c r="D5" s="20" t="inlineStr">
        <is>
          <t>中国 10 年期国债收益率，2026-09-30；来源见 market_data</t>
        </is>
      </c>
    </row>
    <row r="6">
      <c r="A6" t="inlineStr">
        <is>
          <t>Beta</t>
        </is>
      </c>
      <c r="C6" s="82" t="n">
        <v>0.65</v>
      </c>
    </row>
    <row r="7">
      <c r="A7" t="inlineStr">
        <is>
          <t>股权风险溢价 ERP</t>
        </is>
      </c>
      <c r="C7" s="81" t="n">
        <v>0.065</v>
      </c>
      <c r="D7" s="20" t="inlineStr">
        <is>
          <t>A 股常用 6–7%</t>
        </is>
      </c>
    </row>
    <row r="8">
      <c r="A8" t="inlineStr">
        <is>
          <t>股权成本 Ke = rf + β×ERP</t>
        </is>
      </c>
      <c r="C8" s="83">
        <f>C5+C6*C7</f>
        <v>0.059050000000000005</v>
      </c>
    </row>
    <row r="9">
      <c r="A9" t="inlineStr">
        <is>
          <t>税前债务成本 Kd</t>
        </is>
      </c>
      <c r="C9" s="84">
        <f>'Income Statement'!$G$42</f>
        <v>0.023</v>
      </c>
      <c r="D9" s="20" t="inlineStr">
        <is>
          <t>说明：模型 2026E 有息负债综合利率（含资本化部分）</t>
        </is>
      </c>
    </row>
    <row r="10">
      <c r="A10" t="inlineStr">
        <is>
          <t>税率</t>
        </is>
      </c>
      <c r="C10" s="84">
        <f>'Income Statement'!$K$63</f>
        <v>0.235</v>
      </c>
    </row>
    <row r="11">
      <c r="A11" t="inlineStr">
        <is>
          <t>税后债务成本</t>
        </is>
      </c>
      <c r="C11" s="83">
        <f>C9*(1-C10)</f>
        <v>0.017595</v>
      </c>
    </row>
    <row r="12">
      <c r="A12" t="inlineStr">
        <is>
          <t>归母市值 E（2026-09-24）</t>
        </is>
      </c>
      <c r="C12" s="85">
        <f>'DCF Inputs'!$F$31</f>
        <v>1825.7459999999999</v>
      </c>
    </row>
    <row r="13">
      <c r="A13" t="inlineStr">
        <is>
          <t>少数股东权益市值（账面×公司 P/B）</t>
        </is>
      </c>
      <c r="C13" s="86">
        <f>'DCF Inputs'!$F$22*'DCF Inputs'!$F$33</f>
        <v>1760.4591050740432</v>
      </c>
      <c r="D13" s="20" t="inlineStr">
        <is>
          <t>合并口径 WACC 需包含少数股东资本</t>
        </is>
      </c>
    </row>
    <row r="14">
      <c r="A14" t="inlineStr">
        <is>
          <t>有息负债 D（2025A）</t>
        </is>
      </c>
      <c r="C14" s="85">
        <f>'DCF Inputs'!$F$19</f>
        <v>4450.9221140606005</v>
      </c>
    </row>
    <row r="15">
      <c r="A15" t="inlineStr">
        <is>
          <t>D/(D+E) 债务权重</t>
        </is>
      </c>
      <c r="C15" s="87">
        <f>C14/(C14+C12+C13)</f>
        <v>0.55379515499816</v>
      </c>
      <c r="D15" s="20" t="inlineStr">
        <is>
          <t>市值权重</t>
        </is>
      </c>
    </row>
    <row r="16">
      <c r="A16" t="inlineStr">
        <is>
          <t>WACC（计算值）</t>
        </is>
      </c>
      <c r="C16" s="83">
        <f>(1-C15)*C8+C15*C11</f>
        <v>0.036092421849551276</v>
      </c>
    </row>
    <row r="17">
      <c r="A17" t="inlineStr">
        <is>
          <t>WACC（采用）</t>
        </is>
      </c>
      <c r="C17" s="83">
        <f>ROUND(C16/0.0005,0)*0.0005</f>
        <v>0.036000000000000004</v>
      </c>
      <c r="D17" s="20" t="inlineStr">
        <is>
          <t>说明：计算值四舍五入至 0.05%</t>
        </is>
      </c>
    </row>
    <row r="18">
      <c r="A18" t="inlineStr">
        <is>
          <t>永续增长率 g</t>
        </is>
      </c>
      <c r="C18" s="81" t="n">
        <v>0.01</v>
      </c>
      <c r="D18" s="20" t="inlineStr">
        <is>
          <t>电价与 CPI 挂钩的长期名义增速；低于名义 GDP</t>
        </is>
      </c>
    </row>
    <row r="19">
      <c r="A19" t="inlineStr">
        <is>
          <t>新增投资回报率 RONIC（终值价值驱动公式）</t>
        </is>
      </c>
      <c r="C19" s="81" t="n">
        <v>0.055</v>
      </c>
      <c r="D19" s="20" t="inlineStr">
        <is>
          <t>终值 = NOPAT×(1+g)×(1−g/RONIC)/(WACC−g)</t>
        </is>
      </c>
    </row>
    <row r="21">
      <c r="A21" s="68" t="inlineStr">
        <is>
          <t>B. 二阶段假设 Stage-2 assumptions（2031–2045E）</t>
        </is>
      </c>
    </row>
    <row r="22">
      <c r="A22" t="inlineStr">
        <is>
          <t>核电电价年增速（含税）</t>
        </is>
      </c>
      <c r="C22" s="81" t="n">
        <v>0</v>
      </c>
      <c r="D22" s="20" t="inlineStr">
        <is>
          <t>2030E 后电价持平（机制电价/中长期合约稳定）</t>
        </is>
      </c>
    </row>
    <row r="23">
      <c r="A23" t="inlineStr">
        <is>
          <t>新能源收入年增速</t>
        </is>
      </c>
      <c r="C23" s="81" t="n">
        <v>0.02</v>
      </c>
      <c r="D23" s="20" t="inlineStr"/>
    </row>
    <row r="24">
      <c r="A24" t="inlineStr">
        <is>
          <t>其他业务收入年增速</t>
        </is>
      </c>
      <c r="C24" s="81" t="n">
        <v>0.03</v>
      </c>
      <c r="D24" s="20" t="inlineStr"/>
    </row>
    <row r="25">
      <c r="A25" t="inlineStr">
        <is>
          <t>维护性资本开支/折旧摊销</t>
        </is>
      </c>
      <c r="C25" s="88" t="n">
        <v>0.6</v>
      </c>
      <c r="D25" s="20" t="inlineStr">
        <is>
          <t>建成期后仅维持性投资；未计入 22 台之外的新核准机组（保守，增长价值≈0 当 RONIC≈WACC）</t>
        </is>
      </c>
    </row>
    <row r="26">
      <c r="A26" t="inlineStr">
        <is>
          <t>2031E 收尾资本开支（在建机组）</t>
        </is>
      </c>
      <c r="C26" s="89" t="n">
        <v>650</v>
      </c>
      <c r="D26" s="20" t="inlineStr">
        <is>
          <t>徐圩一期、金七门 2–4、三门 5–6、庄河 1–2 剩余投资</t>
        </is>
      </c>
    </row>
    <row r="27">
      <c r="A27" t="inlineStr">
        <is>
          <t>2032E 收尾资本开支</t>
        </is>
      </c>
      <c r="C27" s="89" t="n">
        <v>450</v>
      </c>
      <c r="D27" s="20" t="inlineStr"/>
    </row>
    <row r="28">
      <c r="A28" t="inlineStr">
        <is>
          <t>2033E 收尾资本开支</t>
        </is>
      </c>
      <c r="C28" s="89" t="n">
        <v>250</v>
      </c>
      <c r="D28" s="20" t="inlineStr"/>
    </row>
    <row r="30">
      <c r="A30" s="68" t="inlineStr">
        <is>
          <t>C. 无杠杆自由现金流 Unlevered FCF</t>
        </is>
      </c>
    </row>
    <row r="31">
      <c r="A31" s="90" t="inlineStr">
        <is>
          <t>项目</t>
        </is>
      </c>
      <c r="B31" s="90" t="inlineStr">
        <is>
          <t>单位</t>
        </is>
      </c>
      <c r="C31" s="91" t="n">
        <v>2026</v>
      </c>
      <c r="D31" s="91" t="n">
        <v>2027</v>
      </c>
      <c r="E31" s="91" t="n">
        <v>2028</v>
      </c>
      <c r="F31" s="91" t="n">
        <v>2029</v>
      </c>
      <c r="G31" s="91" t="n">
        <v>2030</v>
      </c>
      <c r="H31" s="91" t="n">
        <v>2031</v>
      </c>
      <c r="I31" s="91" t="n">
        <v>2032</v>
      </c>
      <c r="J31" s="91" t="n">
        <v>2033</v>
      </c>
      <c r="K31" s="91" t="n">
        <v>2034</v>
      </c>
      <c r="L31" s="91" t="n">
        <v>2035</v>
      </c>
      <c r="M31" s="91" t="n">
        <v>2036</v>
      </c>
      <c r="N31" s="91" t="n">
        <v>2037</v>
      </c>
      <c r="O31" s="91" t="n">
        <v>2038</v>
      </c>
      <c r="P31" s="91" t="n">
        <v>2039</v>
      </c>
      <c r="Q31" s="91" t="n">
        <v>2040</v>
      </c>
      <c r="R31" s="91" t="n">
        <v>2041</v>
      </c>
      <c r="S31" s="91" t="n">
        <v>2042</v>
      </c>
      <c r="T31" s="91" t="n">
        <v>2043</v>
      </c>
      <c r="U31" s="91" t="n">
        <v>2044</v>
      </c>
      <c r="V31" s="91" t="n">
        <v>2045</v>
      </c>
      <c r="W31" s="21" t="inlineStr">
        <is>
          <t>说明</t>
        </is>
      </c>
    </row>
    <row r="32">
      <c r="A32" s="22" t="inlineStr">
        <is>
          <t>核电新增投产容量</t>
        </is>
      </c>
      <c r="B32" s="20" t="inlineStr">
        <is>
          <t>万千瓦</t>
        </is>
      </c>
      <c r="C32" s="86">
        <f>SUMPRODUCT(('Revenue Model'!$E$8:$E$28=C$31)*'Revenue Model'!$C$8:$C$28)</f>
        <v>139.0</v>
      </c>
      <c r="D32" s="86">
        <f>SUMPRODUCT(('Revenue Model'!$E$8:$E$28=D$31)*'Revenue Model'!$C$8:$C$28)</f>
        <v>504.1</v>
      </c>
      <c r="E32" s="86">
        <f>SUMPRODUCT(('Revenue Model'!$E$8:$E$28=E$31)*'Revenue Model'!$C$8:$C$28)</f>
        <v>256.5</v>
      </c>
      <c r="F32" s="86">
        <f>SUMPRODUCT(('Revenue Model'!$E$8:$E$28=F$31)*'Revenue Model'!$C$8:$C$28)</f>
        <v>371.5</v>
      </c>
      <c r="G32" s="86">
        <f>SUMPRODUCT(('Revenue Model'!$E$8:$E$28=G$31)*'Revenue Model'!$C$8:$C$28)</f>
        <v>121.5</v>
      </c>
      <c r="H32" s="86">
        <f>SUMPRODUCT(('Revenue Model'!$E$8:$E$28=H$31)*'Revenue Model'!$C$8:$C$28)</f>
        <v>365.2</v>
      </c>
      <c r="I32" s="86">
        <f>SUMPRODUCT(('Revenue Model'!$E$8:$E$28=I$31)*'Revenue Model'!$C$8:$C$28)</f>
        <v>557.7</v>
      </c>
      <c r="J32" s="86">
        <f>SUMPRODUCT(('Revenue Model'!$E$8:$E$28=J$31)*'Revenue Model'!$C$8:$C$28)</f>
        <v>248.0</v>
      </c>
      <c r="K32" s="86">
        <f>SUMPRODUCT(('Revenue Model'!$E$8:$E$28=K$31)*'Revenue Model'!$C$8:$C$28)</f>
        <v>0.0</v>
      </c>
      <c r="L32" s="86">
        <f>SUMPRODUCT(('Revenue Model'!$E$8:$E$28=L$31)*'Revenue Model'!$C$8:$C$28)</f>
        <v>0.0</v>
      </c>
      <c r="M32" s="86">
        <f>SUMPRODUCT(('Revenue Model'!$E$8:$E$28=M$31)*'Revenue Model'!$C$8:$C$28)</f>
        <v>0.0</v>
      </c>
      <c r="N32" s="86">
        <f>SUMPRODUCT(('Revenue Model'!$E$8:$E$28=N$31)*'Revenue Model'!$C$8:$C$28)</f>
        <v>0.0</v>
      </c>
      <c r="O32" s="86">
        <f>SUMPRODUCT(('Revenue Model'!$E$8:$E$28=O$31)*'Revenue Model'!$C$8:$C$28)</f>
        <v>0.0</v>
      </c>
      <c r="P32" s="86">
        <f>SUMPRODUCT(('Revenue Model'!$E$8:$E$28=P$31)*'Revenue Model'!$C$8:$C$28)</f>
        <v>0.0</v>
      </c>
      <c r="Q32" s="86">
        <f>SUMPRODUCT(('Revenue Model'!$E$8:$E$28=Q$31)*'Revenue Model'!$C$8:$C$28)</f>
        <v>0.0</v>
      </c>
      <c r="R32" s="86">
        <f>SUMPRODUCT(('Revenue Model'!$E$8:$E$28=R$31)*'Revenue Model'!$C$8:$C$28)</f>
        <v>0.0</v>
      </c>
      <c r="S32" s="86">
        <f>SUMPRODUCT(('Revenue Model'!$E$8:$E$28=S$31)*'Revenue Model'!$C$8:$C$28)</f>
        <v>0.0</v>
      </c>
      <c r="T32" s="86">
        <f>SUMPRODUCT(('Revenue Model'!$E$8:$E$28=T$31)*'Revenue Model'!$C$8:$C$28)</f>
        <v>0.0</v>
      </c>
      <c r="U32" s="86">
        <f>SUMPRODUCT(('Revenue Model'!$E$8:$E$28=U$31)*'Revenue Model'!$C$8:$C$28)</f>
        <v>0.0</v>
      </c>
      <c r="V32" s="86">
        <f>SUMPRODUCT(('Revenue Model'!$E$8:$E$28=V$31)*'Revenue Model'!$C$8:$C$28)</f>
        <v>0.0</v>
      </c>
      <c r="W32" s="20" t="inlineStr">
        <is>
          <t>链接 Revenue Model 机组清单（含情景延迟）</t>
        </is>
      </c>
    </row>
    <row r="33">
      <c r="A33" s="22" t="inlineStr">
        <is>
          <t>核电年末装机</t>
        </is>
      </c>
      <c r="B33" s="20" t="inlineStr">
        <is>
          <t>万千瓦</t>
        </is>
      </c>
      <c r="C33" s="85">
        <f>'Revenue Model'!G41</f>
        <v>2760.2000000000003</v>
      </c>
      <c r="D33" s="85">
        <f>'Revenue Model'!H41</f>
        <v>3264.3</v>
      </c>
      <c r="E33" s="85">
        <f>'Revenue Model'!I41</f>
        <v>3520.8</v>
      </c>
      <c r="F33" s="85">
        <f>'Revenue Model'!J41</f>
        <v>3892.3</v>
      </c>
      <c r="G33" s="85">
        <f>'Revenue Model'!K41</f>
        <v>4013.8</v>
      </c>
      <c r="H33" s="86">
        <f>G33+H32</f>
        <v>4379.0</v>
      </c>
      <c r="I33" s="86">
        <f>H33+I32</f>
        <v>4936.7</v>
      </c>
      <c r="J33" s="86">
        <f>I33+J32</f>
        <v>5184.7</v>
      </c>
      <c r="K33" s="86">
        <f>J33+K32</f>
        <v>5184.7</v>
      </c>
      <c r="L33" s="86">
        <f>K33+L32</f>
        <v>5184.7</v>
      </c>
      <c r="M33" s="86">
        <f>L33+M32</f>
        <v>5184.7</v>
      </c>
      <c r="N33" s="86">
        <f>M33+N32</f>
        <v>5184.7</v>
      </c>
      <c r="O33" s="86">
        <f>N33+O32</f>
        <v>5184.7</v>
      </c>
      <c r="P33" s="86">
        <f>O33+P32</f>
        <v>5184.7</v>
      </c>
      <c r="Q33" s="86">
        <f>P33+Q32</f>
        <v>5184.7</v>
      </c>
      <c r="R33" s="86">
        <f>Q33+R32</f>
        <v>5184.7</v>
      </c>
      <c r="S33" s="86">
        <f>R33+S32</f>
        <v>5184.7</v>
      </c>
      <c r="T33" s="86">
        <f>S33+T32</f>
        <v>5184.7</v>
      </c>
      <c r="U33" s="86">
        <f>T33+U32</f>
        <v>5184.7</v>
      </c>
      <c r="V33" s="86">
        <f>U33+V32</f>
        <v>5184.7</v>
      </c>
    </row>
    <row r="34">
      <c r="A34" s="22" t="inlineStr">
        <is>
          <t>核电平均装机</t>
        </is>
      </c>
      <c r="B34" s="20" t="inlineStr">
        <is>
          <t>万千瓦</t>
        </is>
      </c>
      <c r="C34" s="85">
        <f>'Income Statement'!G20</f>
        <v>2676.8</v>
      </c>
      <c r="D34" s="85">
        <f>'Income Statement'!H20</f>
        <v>2961.84</v>
      </c>
      <c r="E34" s="85">
        <f>'Income Statement'!I20</f>
        <v>3366.9000000000005</v>
      </c>
      <c r="F34" s="85">
        <f>'Income Statement'!J20</f>
        <v>3669.4000000000005</v>
      </c>
      <c r="G34" s="85">
        <f>'Income Statement'!K20</f>
        <v>3940.9</v>
      </c>
      <c r="H34" s="86">
        <f>G33+H32*'Scenarios'!$K$30</f>
        <v>4159.88</v>
      </c>
      <c r="I34" s="86">
        <f>H33+I32*'Scenarios'!$K$30</f>
        <v>4602.08</v>
      </c>
      <c r="J34" s="86">
        <f>I33+J32*'Scenarios'!$K$30</f>
        <v>5035.9</v>
      </c>
      <c r="K34" s="86">
        <f>J33+K32*'Scenarios'!$K$30</f>
        <v>5184.7</v>
      </c>
      <c r="L34" s="86">
        <f>K33+L32*'Scenarios'!$K$30</f>
        <v>5184.7</v>
      </c>
      <c r="M34" s="86">
        <f>L33+M32*'Scenarios'!$K$30</f>
        <v>5184.7</v>
      </c>
      <c r="N34" s="86">
        <f>M33+N32*'Scenarios'!$K$30</f>
        <v>5184.7</v>
      </c>
      <c r="O34" s="86">
        <f>N33+O32*'Scenarios'!$K$30</f>
        <v>5184.7</v>
      </c>
      <c r="P34" s="86">
        <f>O33+P32*'Scenarios'!$K$30</f>
        <v>5184.7</v>
      </c>
      <c r="Q34" s="86">
        <f>P33+Q32*'Scenarios'!$K$30</f>
        <v>5184.7</v>
      </c>
      <c r="R34" s="86">
        <f>Q33+R32*'Scenarios'!$K$30</f>
        <v>5184.7</v>
      </c>
      <c r="S34" s="86">
        <f>R33+S32*'Scenarios'!$K$30</f>
        <v>5184.7</v>
      </c>
      <c r="T34" s="86">
        <f>S33+T32*'Scenarios'!$K$30</f>
        <v>5184.7</v>
      </c>
      <c r="U34" s="86">
        <f>T33+U32*'Scenarios'!$K$30</f>
        <v>5184.7</v>
      </c>
      <c r="V34" s="86">
        <f>U33+V32*'Scenarios'!$K$30</f>
        <v>5184.7</v>
      </c>
    </row>
    <row r="35">
      <c r="A35" s="22" t="inlineStr">
        <is>
          <t>利用小时</t>
        </is>
      </c>
      <c r="B35" s="20" t="inlineStr">
        <is>
          <t>小时</t>
        </is>
      </c>
      <c r="C35" s="92">
        <f>'Revenue Model'!G42</f>
        <v>7650.0</v>
      </c>
      <c r="D35" s="92">
        <f>'Revenue Model'!H42</f>
        <v>7950.0</v>
      </c>
      <c r="E35" s="92">
        <f>'Revenue Model'!I42</f>
        <v>7950.0</v>
      </c>
      <c r="F35" s="92">
        <f>'Revenue Model'!J42</f>
        <v>7950.0</v>
      </c>
      <c r="G35" s="92">
        <f>'Revenue Model'!K42</f>
        <v>7950.0</v>
      </c>
      <c r="H35" s="93">
        <f>G35</f>
        <v>7950.0</v>
      </c>
      <c r="I35" s="93">
        <f>H35</f>
        <v>7950.0</v>
      </c>
      <c r="J35" s="93">
        <f>I35</f>
        <v>7950.0</v>
      </c>
      <c r="K35" s="93">
        <f>J35</f>
        <v>7950.0</v>
      </c>
      <c r="L35" s="93">
        <f>K35</f>
        <v>7950.0</v>
      </c>
      <c r="M35" s="93">
        <f>L35</f>
        <v>7950.0</v>
      </c>
      <c r="N35" s="93">
        <f>M35</f>
        <v>7950.0</v>
      </c>
      <c r="O35" s="93">
        <f>N35</f>
        <v>7950.0</v>
      </c>
      <c r="P35" s="93">
        <f>O35</f>
        <v>7950.0</v>
      </c>
      <c r="Q35" s="93">
        <f>P35</f>
        <v>7950.0</v>
      </c>
      <c r="R35" s="93">
        <f>Q35</f>
        <v>7950.0</v>
      </c>
      <c r="S35" s="93">
        <f>R35</f>
        <v>7950.0</v>
      </c>
      <c r="T35" s="93">
        <f>S35</f>
        <v>7950.0</v>
      </c>
      <c r="U35" s="93">
        <f>T35</f>
        <v>7950.0</v>
      </c>
      <c r="V35" s="93">
        <f>U35</f>
        <v>7950.0</v>
      </c>
    </row>
    <row r="36">
      <c r="A36" s="22" t="inlineStr">
        <is>
          <t>核电电价（不含税）</t>
        </is>
      </c>
      <c r="B36" s="20" t="inlineStr">
        <is>
          <t>元/kWh</t>
        </is>
      </c>
      <c r="C36" s="94">
        <f>'Revenue Model'!G60/(1+'Revenue Model'!G61)</f>
        <v>0.3345132743362832</v>
      </c>
      <c r="D36" s="94">
        <f>'Revenue Model'!H60/(1+'Revenue Model'!H61)</f>
        <v>0.33274336283185846</v>
      </c>
      <c r="E36" s="94">
        <f>'Revenue Model'!I60/(1+'Revenue Model'!I61)</f>
        <v>0.33185840707964603</v>
      </c>
      <c r="F36" s="94">
        <f>'Revenue Model'!J60/(1+'Revenue Model'!J61)</f>
        <v>0.33185840707964603</v>
      </c>
      <c r="G36" s="94">
        <f>'Revenue Model'!K60/(1+'Revenue Model'!K61)</f>
        <v>0.33185840707964603</v>
      </c>
      <c r="H36" s="94">
        <f>G36*(1+'DCF'!$C$22)</f>
        <v>0.33185840707964603</v>
      </c>
      <c r="I36" s="94">
        <f>H36*(1+'DCF'!$C$22)</f>
        <v>0.33185840707964603</v>
      </c>
      <c r="J36" s="94">
        <f>I36*(1+'DCF'!$C$22)</f>
        <v>0.33185840707964603</v>
      </c>
      <c r="K36" s="94">
        <f>J36*(1+'DCF'!$C$22)</f>
        <v>0.33185840707964603</v>
      </c>
      <c r="L36" s="94">
        <f>K36*(1+'DCF'!$C$22)</f>
        <v>0.33185840707964603</v>
      </c>
      <c r="M36" s="94">
        <f>L36*(1+'DCF'!$C$22)</f>
        <v>0.33185840707964603</v>
      </c>
      <c r="N36" s="94">
        <f>M36*(1+'DCF'!$C$22)</f>
        <v>0.33185840707964603</v>
      </c>
      <c r="O36" s="94">
        <f>N36*(1+'DCF'!$C$22)</f>
        <v>0.33185840707964603</v>
      </c>
      <c r="P36" s="94">
        <f>O36*(1+'DCF'!$C$22)</f>
        <v>0.33185840707964603</v>
      </c>
      <c r="Q36" s="94">
        <f>P36*(1+'DCF'!$C$22)</f>
        <v>0.33185840707964603</v>
      </c>
      <c r="R36" s="94">
        <f>Q36*(1+'DCF'!$C$22)</f>
        <v>0.33185840707964603</v>
      </c>
      <c r="S36" s="94">
        <f>R36*(1+'DCF'!$C$22)</f>
        <v>0.33185840707964603</v>
      </c>
      <c r="T36" s="94">
        <f>S36*(1+'DCF'!$C$22)</f>
        <v>0.33185840707964603</v>
      </c>
      <c r="U36" s="94">
        <f>T36*(1+'DCF'!$C$22)</f>
        <v>0.33185840707964603</v>
      </c>
      <c r="V36" s="94">
        <f>U36*(1+'DCF'!$C$22)</f>
        <v>0.33185840707964603</v>
      </c>
    </row>
    <row r="37">
      <c r="A37" s="22" t="inlineStr">
        <is>
          <t>核电收入</t>
        </is>
      </c>
      <c r="B37" s="20" t="inlineStr">
        <is>
          <t>亿元</t>
        </is>
      </c>
      <c r="C37" s="85">
        <f>'Revenue Model'!G91</f>
        <v>640.8177119362832</v>
      </c>
      <c r="D37" s="85">
        <f>'Revenue Model'!H91</f>
        <v>732.9627704198232</v>
      </c>
      <c r="E37" s="85">
        <f>'Revenue Model'!I91</f>
        <v>830.9864884679204</v>
      </c>
      <c r="F37" s="85">
        <f>'Revenue Model'!J91</f>
        <v>905.6466841261062</v>
      </c>
      <c r="G37" s="85">
        <f>'Revenue Model'!K91</f>
        <v>972.655752295354</v>
      </c>
      <c r="H37" s="86">
        <f>H34*H35/10000*'Revenue Model'!$K$58*H36</f>
        <v>1026.702329634956</v>
      </c>
      <c r="I37" s="86">
        <f>I34*I35/10000*'Revenue Model'!$K$58*I36</f>
        <v>1135.8419611061947</v>
      </c>
      <c r="J37" s="86">
        <f>J34*J35/10000*'Revenue Model'!$K$58*J36</f>
        <v>1242.9133200497788</v>
      </c>
      <c r="K37" s="86">
        <f>K34*K35/10000*'Revenue Model'!$K$58*K36</f>
        <v>1279.6387319966816</v>
      </c>
      <c r="L37" s="86">
        <f>L34*L35/10000*'Revenue Model'!$K$58*L36</f>
        <v>1279.6387319966816</v>
      </c>
      <c r="M37" s="86">
        <f>M34*M35/10000*'Revenue Model'!$K$58*M36</f>
        <v>1279.6387319966816</v>
      </c>
      <c r="N37" s="86">
        <f>N34*N35/10000*'Revenue Model'!$K$58*N36</f>
        <v>1279.6387319966816</v>
      </c>
      <c r="O37" s="86">
        <f>O34*O35/10000*'Revenue Model'!$K$58*O36</f>
        <v>1279.6387319966816</v>
      </c>
      <c r="P37" s="86">
        <f>P34*P35/10000*'Revenue Model'!$K$58*P36</f>
        <v>1279.6387319966816</v>
      </c>
      <c r="Q37" s="86">
        <f>Q34*Q35/10000*'Revenue Model'!$K$58*Q36</f>
        <v>1279.6387319966816</v>
      </c>
      <c r="R37" s="86">
        <f>R34*R35/10000*'Revenue Model'!$K$58*R36</f>
        <v>1279.6387319966816</v>
      </c>
      <c r="S37" s="86">
        <f>S34*S35/10000*'Revenue Model'!$K$58*S36</f>
        <v>1279.6387319966816</v>
      </c>
      <c r="T37" s="86">
        <f>T34*T35/10000*'Revenue Model'!$K$58*T36</f>
        <v>1279.6387319966816</v>
      </c>
      <c r="U37" s="86">
        <f>U34*U35/10000*'Revenue Model'!$K$58*U36</f>
        <v>1279.6387319966816</v>
      </c>
      <c r="V37" s="86">
        <f>V34*V35/10000*'Revenue Model'!$K$58*V36</f>
        <v>1279.6387319966816</v>
      </c>
    </row>
    <row r="38">
      <c r="A38" s="22" t="inlineStr">
        <is>
          <t>新能源收入</t>
        </is>
      </c>
      <c r="B38" s="20" t="inlineStr">
        <is>
          <t>亿元</t>
        </is>
      </c>
      <c r="C38" s="85">
        <f>'Revenue Model'!G95</f>
        <v>140.84775980243364</v>
      </c>
      <c r="D38" s="85">
        <f>'Revenue Model'!H95</f>
        <v>148.70222999402657</v>
      </c>
      <c r="E38" s="85">
        <f>'Revenue Model'!I95</f>
        <v>155.28513461415932</v>
      </c>
      <c r="F38" s="85">
        <f>'Revenue Model'!J95</f>
        <v>160.65442681725665</v>
      </c>
      <c r="G38" s="85">
        <f>'Revenue Model'!K95</f>
        <v>168.3073239411505</v>
      </c>
      <c r="H38" s="86">
        <f>G38*(1+'DCF'!$C$23)</f>
        <v>171.67347041997354</v>
      </c>
      <c r="I38" s="86">
        <f>H38*(1+'DCF'!$C$23)</f>
        <v>175.10693982837302</v>
      </c>
      <c r="J38" s="86">
        <f>I38*(1+'DCF'!$C$23)</f>
        <v>178.60907862494048</v>
      </c>
      <c r="K38" s="86">
        <f>J38*(1+'DCF'!$C$23)</f>
        <v>182.1812601974393</v>
      </c>
      <c r="L38" s="86">
        <f>K38*(1+'DCF'!$C$23)</f>
        <v>185.8248854013881</v>
      </c>
      <c r="M38" s="86">
        <f>L38*(1+'DCF'!$C$23)</f>
        <v>189.54138310941585</v>
      </c>
      <c r="N38" s="86">
        <f>M38*(1+'DCF'!$C$23)</f>
        <v>193.33221077160417</v>
      </c>
      <c r="O38" s="86">
        <f>N38*(1+'DCF'!$C$23)</f>
        <v>197.19885498703624</v>
      </c>
      <c r="P38" s="86">
        <f>O38*(1+'DCF'!$C$23)</f>
        <v>201.14283208677696</v>
      </c>
      <c r="Q38" s="86">
        <f>P38*(1+'DCF'!$C$23)</f>
        <v>205.1656887285125</v>
      </c>
      <c r="R38" s="86">
        <f>Q38*(1+'DCF'!$C$23)</f>
        <v>209.26900250308276</v>
      </c>
      <c r="S38" s="86">
        <f>R38*(1+'DCF'!$C$23)</f>
        <v>213.45438255314443</v>
      </c>
      <c r="T38" s="86">
        <f>S38*(1+'DCF'!$C$23)</f>
        <v>217.72347020420733</v>
      </c>
      <c r="U38" s="86">
        <f>T38*(1+'DCF'!$C$23)</f>
        <v>222.07793960829147</v>
      </c>
      <c r="V38" s="86">
        <f>U38*(1+'DCF'!$C$23)</f>
        <v>226.5194984004573</v>
      </c>
    </row>
    <row r="39">
      <c r="A39" s="22" t="inlineStr">
        <is>
          <t>其他业务收入</t>
        </is>
      </c>
      <c r="B39" s="20" t="inlineStr">
        <is>
          <t>亿元</t>
        </is>
      </c>
      <c r="C39" s="85">
        <f>'Revenue Model'!G99</f>
        <v>25.761700071975</v>
      </c>
      <c r="D39" s="85">
        <f>'Revenue Model'!H99</f>
        <v>27.04978507557375</v>
      </c>
      <c r="E39" s="85">
        <f>'Revenue Model'!I99</f>
        <v>28.40227432935244</v>
      </c>
      <c r="F39" s="85">
        <f>'Revenue Model'!J99</f>
        <v>29.822388045820063</v>
      </c>
      <c r="G39" s="85">
        <f>'Revenue Model'!K99</f>
        <v>31.313507448111068</v>
      </c>
      <c r="H39" s="86">
        <f>G39*(1+'DCF'!$C$24)</f>
        <v>32.2529126715544</v>
      </c>
      <c r="I39" s="86">
        <f>H39*(1+'DCF'!$C$24)</f>
        <v>33.22050005170103</v>
      </c>
      <c r="J39" s="86">
        <f>I39*(1+'DCF'!$C$24)</f>
        <v>34.217115053252066</v>
      </c>
      <c r="K39" s="86">
        <f>J39*(1+'DCF'!$C$24)</f>
        <v>35.24362850484963</v>
      </c>
      <c r="L39" s="86">
        <f>K39*(1+'DCF'!$C$24)</f>
        <v>36.300937359995125</v>
      </c>
      <c r="M39" s="86">
        <f>L39*(1+'DCF'!$C$24)</f>
        <v>37.38996548079498</v>
      </c>
      <c r="N39" s="86">
        <f>M39*(1+'DCF'!$C$24)</f>
        <v>38.51166444521883</v>
      </c>
      <c r="O39" s="86">
        <f>N39*(1+'DCF'!$C$24)</f>
        <v>39.667014378575395</v>
      </c>
      <c r="P39" s="86">
        <f>O39*(1+'DCF'!$C$24)</f>
        <v>40.85702480993266</v>
      </c>
      <c r="Q39" s="86">
        <f>P39*(1+'DCF'!$C$24)</f>
        <v>42.082735554230645</v>
      </c>
      <c r="R39" s="86">
        <f>Q39*(1+'DCF'!$C$24)</f>
        <v>43.34521762085757</v>
      </c>
      <c r="S39" s="86">
        <f>R39*(1+'DCF'!$C$24)</f>
        <v>44.645574149483295</v>
      </c>
      <c r="T39" s="86">
        <f>S39*(1+'DCF'!$C$24)</f>
        <v>45.98494137396779</v>
      </c>
      <c r="U39" s="86">
        <f>T39*(1+'DCF'!$C$24)</f>
        <v>47.36448961518683</v>
      </c>
      <c r="V39" s="86">
        <f>U39*(1+'DCF'!$C$24)</f>
        <v>48.78542430364243</v>
      </c>
    </row>
    <row r="40">
      <c r="A40" s="21" t="inlineStr">
        <is>
          <t>营业收入</t>
        </is>
      </c>
      <c r="B40" s="20" t="inlineStr">
        <is>
          <t>亿元</t>
        </is>
      </c>
      <c r="C40" s="95">
        <f>C37+C38+C39</f>
        <v>807.4271718106919</v>
      </c>
      <c r="D40" s="95">
        <f>D37+D38+D39</f>
        <v>908.7147854894234</v>
      </c>
      <c r="E40" s="95">
        <f>E37+E38+E39</f>
        <v>1014.6738974114321</v>
      </c>
      <c r="F40" s="95">
        <f>F37+F38+F39</f>
        <v>1096.123498989183</v>
      </c>
      <c r="G40" s="95">
        <f>G37+G38+G39</f>
        <v>1172.2765836846156</v>
      </c>
      <c r="H40" s="95">
        <f>H37+H38+H39</f>
        <v>1230.6287127264839</v>
      </c>
      <c r="I40" s="95">
        <f>I37+I38+I39</f>
        <v>1344.1694009862688</v>
      </c>
      <c r="J40" s="95">
        <f>J37+J38+J39</f>
        <v>1455.7395137279711</v>
      </c>
      <c r="K40" s="95">
        <f>K37+K38+K39</f>
        <v>1497.0636206989705</v>
      </c>
      <c r="L40" s="95">
        <f>L37+L38+L39</f>
        <v>1501.7645547580648</v>
      </c>
      <c r="M40" s="95">
        <f>M37+M38+M39</f>
        <v>1506.5700805868923</v>
      </c>
      <c r="N40" s="95">
        <f>N37+N38+N39</f>
        <v>1511.4826072135047</v>
      </c>
      <c r="O40" s="95">
        <f>O37+O38+O39</f>
        <v>1516.5046013622932</v>
      </c>
      <c r="P40" s="95">
        <f>P37+P38+P39</f>
        <v>1521.6385888933912</v>
      </c>
      <c r="Q40" s="95">
        <f>Q37+Q38+Q39</f>
        <v>1526.8871562794247</v>
      </c>
      <c r="R40" s="95">
        <f>R37+R38+R39</f>
        <v>1532.2529521206218</v>
      </c>
      <c r="S40" s="95">
        <f>S37+S38+S39</f>
        <v>1537.7386886993093</v>
      </c>
      <c r="T40" s="95">
        <f>T37+T38+T39</f>
        <v>1543.3471435748568</v>
      </c>
      <c r="U40" s="95">
        <f>U37+U38+U39</f>
        <v>1549.0811612201599</v>
      </c>
      <c r="V40" s="95">
        <f>V37+V38+V39</f>
        <v>1554.9436547007813</v>
      </c>
    </row>
    <row r="41">
      <c r="A41" s="22" t="inlineStr">
        <is>
          <t>EBITDA 利润率</t>
        </is>
      </c>
      <c r="B41" s="20" t="inlineStr">
        <is>
          <t>%</t>
        </is>
      </c>
      <c r="C41" s="96">
        <f>'Income Statement'!G84</f>
        <v>0.6021679982409286</v>
      </c>
      <c r="D41" s="96">
        <f>'Income Statement'!H84</f>
        <v>0.5981919095334707</v>
      </c>
      <c r="E41" s="96">
        <f>'Income Statement'!I84</f>
        <v>0.5903886800632199</v>
      </c>
      <c r="F41" s="96">
        <f>'Income Statement'!J84</f>
        <v>0.5820091146321192</v>
      </c>
      <c r="G41" s="96">
        <f>'Income Statement'!K84</f>
        <v>0.5737767108201497</v>
      </c>
      <c r="H41" s="97">
        <f>G41</f>
        <v>0.5737767108201497</v>
      </c>
      <c r="I41" s="97">
        <f>H41</f>
        <v>0.5737767108201497</v>
      </c>
      <c r="J41" s="97">
        <f>I41</f>
        <v>0.5737767108201497</v>
      </c>
      <c r="K41" s="97">
        <f>J41</f>
        <v>0.5737767108201497</v>
      </c>
      <c r="L41" s="97">
        <f>K41</f>
        <v>0.5737767108201497</v>
      </c>
      <c r="M41" s="97">
        <f>L41</f>
        <v>0.5737767108201497</v>
      </c>
      <c r="N41" s="97">
        <f>M41</f>
        <v>0.5737767108201497</v>
      </c>
      <c r="O41" s="97">
        <f>N41</f>
        <v>0.5737767108201497</v>
      </c>
      <c r="P41" s="97">
        <f>O41</f>
        <v>0.5737767108201497</v>
      </c>
      <c r="Q41" s="97">
        <f>P41</f>
        <v>0.5737767108201497</v>
      </c>
      <c r="R41" s="97">
        <f>Q41</f>
        <v>0.5737767108201497</v>
      </c>
      <c r="S41" s="97">
        <f>R41</f>
        <v>0.5737767108201497</v>
      </c>
      <c r="T41" s="97">
        <f>S41</f>
        <v>0.5737767108201497</v>
      </c>
      <c r="U41" s="97">
        <f>T41</f>
        <v>0.5737767108201497</v>
      </c>
      <c r="V41" s="97">
        <f>U41</f>
        <v>0.5737767108201497</v>
      </c>
      <c r="W41" s="20" t="inlineStr">
        <is>
          <t>二阶段沿用 2030E 利润率</t>
        </is>
      </c>
    </row>
    <row r="42">
      <c r="A42" s="21" t="inlineStr">
        <is>
          <t>EBITDA</t>
        </is>
      </c>
      <c r="B42" s="20" t="inlineStr">
        <is>
          <t>亿元</t>
        </is>
      </c>
      <c r="C42" s="98">
        <f>'DCF Inputs'!G8</f>
        <v>486.2068037745787</v>
      </c>
      <c r="D42" s="98">
        <f>'DCF Inputs'!H8</f>
        <v>543.5858327532164</v>
      </c>
      <c r="E42" s="98">
        <f>'DCF Inputs'!I8</f>
        <v>599.0519829873384</v>
      </c>
      <c r="F42" s="98">
        <f>'DCF Inputs'!J8</f>
        <v>637.953867174155</v>
      </c>
      <c r="G42" s="98">
        <f>'DCF Inputs'!K8</f>
        <v>672.6250023580407</v>
      </c>
      <c r="H42" s="95">
        <f>H40*H41</f>
        <v>706.1060950290369</v>
      </c>
      <c r="I42" s="95">
        <f>I40*I41</f>
        <v>771.2530976829922</v>
      </c>
      <c r="J42" s="95">
        <f>J40*J41</f>
        <v>835.2694299977594</v>
      </c>
      <c r="K42" s="95">
        <f>K40*K41</f>
        <v>858.9802401731595</v>
      </c>
      <c r="L42" s="95">
        <f>L40*L41</f>
        <v>861.677526655369</v>
      </c>
      <c r="M42" s="95">
        <f>M40*M41</f>
        <v>864.4348254591949</v>
      </c>
      <c r="N42" s="95">
        <f>N40*N41</f>
        <v>867.253518828829</v>
      </c>
      <c r="O42" s="95">
        <f>O40*O41</f>
        <v>870.1350221132789</v>
      </c>
      <c r="P42" s="95">
        <f>P40*P41</f>
        <v>873.080784592264</v>
      </c>
      <c r="Q42" s="95">
        <f>Q40*Q41</f>
        <v>876.0922903235402</v>
      </c>
      <c r="R42" s="95">
        <f>R40*R41</f>
        <v>879.1710590122347</v>
      </c>
      <c r="S42" s="95">
        <f>S40*S41</f>
        <v>882.3186469027797</v>
      </c>
      <c r="T42" s="95">
        <f>T40*T41</f>
        <v>885.5366476940546</v>
      </c>
      <c r="U42" s="95">
        <f>U40*U41</f>
        <v>888.8266934783613</v>
      </c>
      <c r="V42" s="95">
        <f>V40*V41</f>
        <v>892.1904557048769</v>
      </c>
    </row>
    <row r="43">
      <c r="A43" s="22" t="inlineStr">
        <is>
          <t>折旧摊销</t>
        </is>
      </c>
      <c r="B43" s="20" t="inlineStr">
        <is>
          <t>亿元</t>
        </is>
      </c>
      <c r="C43" s="85">
        <f>'DCF Inputs'!G12</f>
        <v>233.18517694661546</v>
      </c>
      <c r="D43" s="85">
        <f>'DCF Inputs'!H12</f>
        <v>265.07744525973123</v>
      </c>
      <c r="E43" s="85">
        <f>'DCF Inputs'!I12</f>
        <v>298.94411695940715</v>
      </c>
      <c r="F43" s="85">
        <f>'DCF Inputs'!J12</f>
        <v>319.3142854488021</v>
      </c>
      <c r="G43" s="85">
        <f>'DCF Inputs'!K12</f>
        <v>331.00201579732277</v>
      </c>
      <c r="H43" s="86">
        <f>G43*H34/G34</f>
        <v>349.3944696579378</v>
      </c>
      <c r="I43" s="86">
        <f>H43*I34/H34</f>
        <v>386.5355012460461</v>
      </c>
      <c r="J43" s="86">
        <f>I43*J34/I34</f>
        <v>422.9726842482016</v>
      </c>
      <c r="K43" s="86">
        <f>J43*K34/J34</f>
        <v>435.47061618015664</v>
      </c>
      <c r="L43" s="86">
        <f>K43*L34/K34</f>
        <v>435.47061618015664</v>
      </c>
      <c r="M43" s="86">
        <f>L43*M34/L34</f>
        <v>435.47061618015664</v>
      </c>
      <c r="N43" s="86">
        <f>M43*N34/M34</f>
        <v>435.47061618015664</v>
      </c>
      <c r="O43" s="86">
        <f>N43*O34/N34</f>
        <v>435.47061618015664</v>
      </c>
      <c r="P43" s="86">
        <f>O43*P34/O34</f>
        <v>435.47061618015664</v>
      </c>
      <c r="Q43" s="86">
        <f>P43*Q34/P34</f>
        <v>435.47061618015664</v>
      </c>
      <c r="R43" s="86">
        <f>Q43*R34/Q34</f>
        <v>435.47061618015664</v>
      </c>
      <c r="S43" s="86">
        <f>R43*S34/R34</f>
        <v>435.47061618015664</v>
      </c>
      <c r="T43" s="86">
        <f>S43*T34/S34</f>
        <v>435.47061618015664</v>
      </c>
      <c r="U43" s="86">
        <f>T43*U34/T34</f>
        <v>435.47061618015664</v>
      </c>
      <c r="V43" s="86">
        <f>U43*V34/U34</f>
        <v>435.47061618015664</v>
      </c>
      <c r="W43" s="20" t="inlineStr">
        <is>
          <t>二阶段随平均装机增长</t>
        </is>
      </c>
    </row>
    <row r="44">
      <c r="A44" s="22" t="inlineStr">
        <is>
          <t>EBIT</t>
        </is>
      </c>
      <c r="B44" s="20" t="inlineStr">
        <is>
          <t>亿元</t>
        </is>
      </c>
      <c r="C44" s="85">
        <f>'DCF Inputs'!G9</f>
        <v>253.02162682796325</v>
      </c>
      <c r="D44" s="85">
        <f>'DCF Inputs'!H9</f>
        <v>278.50838749348515</v>
      </c>
      <c r="E44" s="85">
        <f>'DCF Inputs'!I9</f>
        <v>300.10786602793127</v>
      </c>
      <c r="F44" s="85">
        <f>'DCF Inputs'!J9</f>
        <v>318.63958172535285</v>
      </c>
      <c r="G44" s="85">
        <f>'DCF Inputs'!K9</f>
        <v>341.6229865607179</v>
      </c>
      <c r="H44" s="86">
        <f>H42-H43</f>
        <v>356.71162537109905</v>
      </c>
      <c r="I44" s="86">
        <f>I42-I43</f>
        <v>384.7175964369461</v>
      </c>
      <c r="J44" s="86">
        <f>J42-J43</f>
        <v>412.29674574955783</v>
      </c>
      <c r="K44" s="86">
        <f>K42-K43</f>
        <v>423.50962399300283</v>
      </c>
      <c r="L44" s="86">
        <f>L42-L43</f>
        <v>426.20691047521234</v>
      </c>
      <c r="M44" s="86">
        <f>M42-M43</f>
        <v>428.9642092790383</v>
      </c>
      <c r="N44" s="86">
        <f>N42-N43</f>
        <v>431.78290264867235</v>
      </c>
      <c r="O44" s="86">
        <f>O42-O43</f>
        <v>434.6644059331222</v>
      </c>
      <c r="P44" s="86">
        <f>P42-P43</f>
        <v>437.6101684121073</v>
      </c>
      <c r="Q44" s="86">
        <f>Q42-Q43</f>
        <v>440.62167414338353</v>
      </c>
      <c r="R44" s="86">
        <f>R42-R43</f>
        <v>443.700442832078</v>
      </c>
      <c r="S44" s="86">
        <f>S42-S43</f>
        <v>446.8480307226231</v>
      </c>
      <c r="T44" s="86">
        <f>T42-T43</f>
        <v>450.066031513898</v>
      </c>
      <c r="U44" s="86">
        <f>U42-U43</f>
        <v>453.3560772982047</v>
      </c>
      <c r="V44" s="86">
        <f>V42-V43</f>
        <v>456.7198395247202</v>
      </c>
    </row>
    <row r="45">
      <c r="A45" s="22" t="inlineStr">
        <is>
          <t>税率</t>
        </is>
      </c>
      <c r="B45" s="20" t="inlineStr">
        <is>
          <t>%</t>
        </is>
      </c>
      <c r="C45" s="96">
        <f>'DCF Inputs'!G10</f>
        <v>0.235</v>
      </c>
      <c r="D45" s="96">
        <f>'DCF Inputs'!H10</f>
        <v>0.235</v>
      </c>
      <c r="E45" s="96">
        <f>'DCF Inputs'!I10</f>
        <v>0.235</v>
      </c>
      <c r="F45" s="96">
        <f>'DCF Inputs'!J10</f>
        <v>0.235</v>
      </c>
      <c r="G45" s="96">
        <f>'DCF Inputs'!K10</f>
        <v>0.235</v>
      </c>
      <c r="H45" s="97">
        <f>G45</f>
        <v>0.235</v>
      </c>
      <c r="I45" s="97">
        <f>H45</f>
        <v>0.235</v>
      </c>
      <c r="J45" s="97">
        <f>I45</f>
        <v>0.235</v>
      </c>
      <c r="K45" s="97">
        <f>J45</f>
        <v>0.235</v>
      </c>
      <c r="L45" s="97">
        <f>K45</f>
        <v>0.235</v>
      </c>
      <c r="M45" s="97">
        <f>L45</f>
        <v>0.235</v>
      </c>
      <c r="N45" s="97">
        <f>M45</f>
        <v>0.235</v>
      </c>
      <c r="O45" s="97">
        <f>N45</f>
        <v>0.235</v>
      </c>
      <c r="P45" s="97">
        <f>O45</f>
        <v>0.235</v>
      </c>
      <c r="Q45" s="97">
        <f>P45</f>
        <v>0.235</v>
      </c>
      <c r="R45" s="97">
        <f>Q45</f>
        <v>0.235</v>
      </c>
      <c r="S45" s="97">
        <f>R45</f>
        <v>0.235</v>
      </c>
      <c r="T45" s="97">
        <f>S45</f>
        <v>0.235</v>
      </c>
      <c r="U45" s="97">
        <f>T45</f>
        <v>0.235</v>
      </c>
      <c r="V45" s="97">
        <f>U45</f>
        <v>0.235</v>
      </c>
    </row>
    <row r="46">
      <c r="A46" s="22" t="inlineStr">
        <is>
          <t>NOPAT</t>
        </is>
      </c>
      <c r="B46" s="20" t="inlineStr">
        <is>
          <t>亿元</t>
        </is>
      </c>
      <c r="C46" s="86">
        <f>C44*(1-C45)</f>
        <v>193.5615445233919</v>
      </c>
      <c r="D46" s="86">
        <f>D44*(1-D45)</f>
        <v>213.05891643251613</v>
      </c>
      <c r="E46" s="86">
        <f>E44*(1-E45)</f>
        <v>229.58251751136743</v>
      </c>
      <c r="F46" s="86">
        <f>F44*(1-F45)</f>
        <v>243.75928001989493</v>
      </c>
      <c r="G46" s="86">
        <f>G44*(1-G45)</f>
        <v>261.3415847189492</v>
      </c>
      <c r="H46" s="86">
        <f>H44*(1-H45)</f>
        <v>272.8843934088908</v>
      </c>
      <c r="I46" s="86">
        <f>I44*(1-I45)</f>
        <v>294.30896127426377</v>
      </c>
      <c r="J46" s="86">
        <f>J44*(1-J45)</f>
        <v>315.40701049841175</v>
      </c>
      <c r="K46" s="86">
        <f>K44*(1-K45)</f>
        <v>323.9848623546472</v>
      </c>
      <c r="L46" s="86">
        <f>L44*(1-L45)</f>
        <v>326.04828651353745</v>
      </c>
      <c r="M46" s="86">
        <f>M44*(1-M45)</f>
        <v>328.1576200984643</v>
      </c>
      <c r="N46" s="86">
        <f>N44*(1-N45)</f>
        <v>330.31392052623437</v>
      </c>
      <c r="O46" s="86">
        <f>O44*(1-O45)</f>
        <v>332.5182705388385</v>
      </c>
      <c r="P46" s="86">
        <f>P44*(1-P45)</f>
        <v>334.7717788352621</v>
      </c>
      <c r="Q46" s="86">
        <f>Q44*(1-Q45)</f>
        <v>337.0755807196884</v>
      </c>
      <c r="R46" s="86">
        <f>R44*(1-R45)</f>
        <v>339.4308387665397</v>
      </c>
      <c r="S46" s="86">
        <f>S44*(1-S45)</f>
        <v>341.83874350280666</v>
      </c>
      <c r="T46" s="86">
        <f>T44*(1-T45)</f>
        <v>344.30051410813195</v>
      </c>
      <c r="U46" s="86">
        <f>U44*(1-U45)</f>
        <v>346.81739913312657</v>
      </c>
      <c r="V46" s="86">
        <f>V44*(1-V45)</f>
        <v>349.39067723641097</v>
      </c>
    </row>
    <row r="47">
      <c r="A47" s="22" t="inlineStr">
        <is>
          <t>资本开支</t>
        </is>
      </c>
      <c r="B47" s="20" t="inlineStr">
        <is>
          <t>亿元</t>
        </is>
      </c>
      <c r="C47" s="85">
        <f>'DCF Inputs'!G13</f>
        <v>-851.6</v>
      </c>
      <c r="D47" s="85">
        <f>'DCF Inputs'!H13</f>
        <v>-857.6</v>
      </c>
      <c r="E47" s="85">
        <f>'DCF Inputs'!I13</f>
        <v>-880.6</v>
      </c>
      <c r="F47" s="85">
        <f>'DCF Inputs'!J13</f>
        <v>-900.6</v>
      </c>
      <c r="G47" s="85">
        <f>'DCF Inputs'!K13</f>
        <v>-920.6</v>
      </c>
      <c r="H47" s="86">
        <f>-('DCF'!$C$26+'DCF'!$C$25*H43)</f>
        <v>-859.6366817947627</v>
      </c>
      <c r="I47" s="86">
        <f>-('DCF'!$C$27+'DCF'!$C$25*I43)</f>
        <v>-681.9213007476277</v>
      </c>
      <c r="J47" s="86">
        <f>-('DCF'!$C$28+'DCF'!$C$25*J43)</f>
        <v>-503.78361054892093</v>
      </c>
      <c r="K47" s="86">
        <f>-(0+'DCF'!$C$25*K43)</f>
        <v>-261.282369708094</v>
      </c>
      <c r="L47" s="86">
        <f>-(0+'DCF'!$C$25*L43)</f>
        <v>-261.282369708094</v>
      </c>
      <c r="M47" s="86">
        <f>-(0+'DCF'!$C$25*M43)</f>
        <v>-261.282369708094</v>
      </c>
      <c r="N47" s="86">
        <f>-(0+'DCF'!$C$25*N43)</f>
        <v>-261.282369708094</v>
      </c>
      <c r="O47" s="86">
        <f>-(0+'DCF'!$C$25*O43)</f>
        <v>-261.282369708094</v>
      </c>
      <c r="P47" s="86">
        <f>-(0+'DCF'!$C$25*P43)</f>
        <v>-261.282369708094</v>
      </c>
      <c r="Q47" s="86">
        <f>-(0+'DCF'!$C$25*Q43)</f>
        <v>-261.282369708094</v>
      </c>
      <c r="R47" s="86">
        <f>-(0+'DCF'!$C$25*R43)</f>
        <v>-261.282369708094</v>
      </c>
      <c r="S47" s="86">
        <f>-(0+'DCF'!$C$25*S43)</f>
        <v>-261.282369708094</v>
      </c>
      <c r="T47" s="86">
        <f>-(0+'DCF'!$C$25*T43)</f>
        <v>-261.282369708094</v>
      </c>
      <c r="U47" s="86">
        <f>-(0+'DCF'!$C$25*U43)</f>
        <v>-261.282369708094</v>
      </c>
      <c r="V47" s="86">
        <f>-(0+'DCF'!$C$25*V43)</f>
        <v>-261.282369708094</v>
      </c>
    </row>
    <row r="48">
      <c r="A48" s="22" t="inlineStr">
        <is>
          <t>营运资本变动</t>
        </is>
      </c>
      <c r="B48" s="20" t="inlineStr">
        <is>
          <t>亿元</t>
        </is>
      </c>
      <c r="C48" s="85">
        <f>'DCF Inputs'!G14</f>
        <v>-54.24960714408388</v>
      </c>
      <c r="D48" s="85">
        <f>'DCF Inputs'!H14</f>
        <v>-84.75082207978309</v>
      </c>
      <c r="E48" s="85">
        <f>'DCF Inputs'!I14</f>
        <v>-45.0196080258609</v>
      </c>
      <c r="F48" s="85">
        <f>'DCF Inputs'!J14</f>
        <v>-59.93607672750478</v>
      </c>
      <c r="G48" s="85">
        <f>'DCF Inputs'!K14</f>
        <v>-24.199984230745557</v>
      </c>
      <c r="H48" s="86">
        <f>0</f>
        <v>0.0</v>
      </c>
      <c r="I48" s="86">
        <f>0</f>
        <v>0.0</v>
      </c>
      <c r="J48" s="86">
        <f>0</f>
        <v>0.0</v>
      </c>
      <c r="K48" s="86">
        <f>0</f>
        <v>0.0</v>
      </c>
      <c r="L48" s="86">
        <f>0</f>
        <v>0.0</v>
      </c>
      <c r="M48" s="86">
        <f>0</f>
        <v>0.0</v>
      </c>
      <c r="N48" s="86">
        <f>0</f>
        <v>0.0</v>
      </c>
      <c r="O48" s="86">
        <f>0</f>
        <v>0.0</v>
      </c>
      <c r="P48" s="86">
        <f>0</f>
        <v>0.0</v>
      </c>
      <c r="Q48" s="86">
        <f>0</f>
        <v>0.0</v>
      </c>
      <c r="R48" s="86">
        <f>0</f>
        <v>0.0</v>
      </c>
      <c r="S48" s="86">
        <f>0</f>
        <v>0.0</v>
      </c>
      <c r="T48" s="86">
        <f>0</f>
        <v>0.0</v>
      </c>
      <c r="U48" s="86">
        <f>0</f>
        <v>0.0</v>
      </c>
      <c r="V48" s="86">
        <f>0</f>
        <v>0.0</v>
      </c>
    </row>
    <row r="49">
      <c r="A49" s="21" t="inlineStr">
        <is>
          <t>无杠杆自由现金流 UFCF</t>
        </is>
      </c>
      <c r="B49" s="20" t="inlineStr">
        <is>
          <t>亿元</t>
        </is>
      </c>
      <c r="C49" s="95">
        <f>C46+C43+C47+C48</f>
        <v>-479.10288567407656</v>
      </c>
      <c r="D49" s="95">
        <f>D46+D43+D47+D48</f>
        <v>-464.2144603875357</v>
      </c>
      <c r="E49" s="95">
        <f>E46+E43+E47+E48</f>
        <v>-397.0929735550864</v>
      </c>
      <c r="F49" s="95">
        <f>F46+F43+F47+F48</f>
        <v>-397.4625112588078</v>
      </c>
      <c r="G49" s="95">
        <f>G46+G43+G47+G48</f>
        <v>-352.4563837144736</v>
      </c>
      <c r="H49" s="95">
        <f>H46+H43+H47+H48</f>
        <v>-237.35781872793416</v>
      </c>
      <c r="I49" s="95">
        <f>I46+I43+I47+I48</f>
        <v>-1.0768382273178077</v>
      </c>
      <c r="J49" s="95">
        <f>J46+J43+J47+J48</f>
        <v>234.59608419769233</v>
      </c>
      <c r="K49" s="95">
        <f>K46+K43+K47+K48</f>
        <v>498.1731088267099</v>
      </c>
      <c r="L49" s="95">
        <f>L46+L43+L47+L48</f>
        <v>500.23653298560015</v>
      </c>
      <c r="M49" s="95">
        <f>M46+M43+M47+M48</f>
        <v>502.345866570527</v>
      </c>
      <c r="N49" s="95">
        <f>N46+N43+N47+N48</f>
        <v>504.502166998297</v>
      </c>
      <c r="O49" s="95">
        <f>O46+O43+O47+O48</f>
        <v>506.7065170109012</v>
      </c>
      <c r="P49" s="95">
        <f>P46+P43+P47+P48</f>
        <v>508.96002530732477</v>
      </c>
      <c r="Q49" s="95">
        <f>Q46+Q43+Q47+Q48</f>
        <v>511.263827191751</v>
      </c>
      <c r="R49" s="95">
        <f>R46+R43+R47+R48</f>
        <v>513.6190852386023</v>
      </c>
      <c r="S49" s="95">
        <f>S46+S43+S47+S48</f>
        <v>516.0269899748694</v>
      </c>
      <c r="T49" s="95">
        <f>T46+T43+T47+T48</f>
        <v>518.4887605801946</v>
      </c>
      <c r="U49" s="95">
        <f>U46+U43+U47+U48</f>
        <v>521.0056456051893</v>
      </c>
      <c r="V49" s="95">
        <f>V46+V43+V47+V48</f>
        <v>523.5789237084737</v>
      </c>
    </row>
    <row r="50">
      <c r="A50" s="22" t="inlineStr">
        <is>
          <t>折现期（年末，估值基准日 2025-12-31）</t>
        </is>
      </c>
      <c r="B50" s="20" t="inlineStr">
        <is>
          <t>年</t>
        </is>
      </c>
      <c r="C50" s="99">
        <f>C$31-2025</f>
        <v>1.0</v>
      </c>
      <c r="D50" s="99">
        <f>D$31-2025</f>
        <v>2.0</v>
      </c>
      <c r="E50" s="99">
        <f>E$31-2025</f>
        <v>3.0</v>
      </c>
      <c r="F50" s="99">
        <f>F$31-2025</f>
        <v>4.0</v>
      </c>
      <c r="G50" s="99">
        <f>G$31-2025</f>
        <v>5.0</v>
      </c>
      <c r="H50" s="99">
        <f>H$31-2025</f>
        <v>6.0</v>
      </c>
      <c r="I50" s="99">
        <f>I$31-2025</f>
        <v>7.0</v>
      </c>
      <c r="J50" s="99">
        <f>J$31-2025</f>
        <v>8.0</v>
      </c>
      <c r="K50" s="99">
        <f>K$31-2025</f>
        <v>9.0</v>
      </c>
      <c r="L50" s="99">
        <f>L$31-2025</f>
        <v>10.0</v>
      </c>
      <c r="M50" s="99">
        <f>M$31-2025</f>
        <v>11.0</v>
      </c>
      <c r="N50" s="99">
        <f>N$31-2025</f>
        <v>12.0</v>
      </c>
      <c r="O50" s="99">
        <f>O$31-2025</f>
        <v>13.0</v>
      </c>
      <c r="P50" s="99">
        <f>P$31-2025</f>
        <v>14.0</v>
      </c>
      <c r="Q50" s="99">
        <f>Q$31-2025</f>
        <v>15.0</v>
      </c>
      <c r="R50" s="99">
        <f>R$31-2025</f>
        <v>16.0</v>
      </c>
      <c r="S50" s="99">
        <f>S$31-2025</f>
        <v>17.0</v>
      </c>
      <c r="T50" s="99">
        <f>T$31-2025</f>
        <v>18.0</v>
      </c>
      <c r="U50" s="99">
        <f>U$31-2025</f>
        <v>19.0</v>
      </c>
      <c r="V50" s="99">
        <f>V$31-2025</f>
        <v>20.0</v>
      </c>
    </row>
    <row r="51">
      <c r="A51" s="22" t="inlineStr">
        <is>
          <t>折现因子</t>
        </is>
      </c>
      <c r="B51" s="20" t="inlineStr"/>
      <c r="C51" s="94">
        <f>1/(1+'DCF'!$C$17)^C50</f>
        <v>0.9652509652509652</v>
      </c>
      <c r="D51" s="94">
        <f>1/(1+'DCF'!$C$17)^D50</f>
        <v>0.93170942591792</v>
      </c>
      <c r="E51" s="94">
        <f>1/(1+'DCF'!$C$17)^E50</f>
        <v>0.899333422700695</v>
      </c>
      <c r="F51" s="94">
        <f>1/(1+'DCF'!$C$17)^F50</f>
        <v>0.8680824543443002</v>
      </c>
      <c r="G51" s="94">
        <f>1/(1+'DCF'!$C$17)^G50</f>
        <v>0.8379174269732627</v>
      </c>
      <c r="H51" s="94">
        <f>1/(1+'DCF'!$C$17)^H50</f>
        <v>0.808800605186547</v>
      </c>
      <c r="I51" s="94">
        <f>1/(1+'DCF'!$C$17)^I50</f>
        <v>0.7806955648518793</v>
      </c>
      <c r="J51" s="94">
        <f>1/(1+'DCF'!$C$17)^J50</f>
        <v>0.7535671475404241</v>
      </c>
      <c r="K51" s="94">
        <f>1/(1+'DCF'!$C$17)^K50</f>
        <v>0.7273814165448108</v>
      </c>
      <c r="L51" s="94">
        <f>1/(1+'DCF'!$C$17)^L50</f>
        <v>0.702105614425493</v>
      </c>
      <c r="M51" s="94">
        <f>1/(1+'DCF'!$C$17)^M50</f>
        <v>0.6777081220323291</v>
      </c>
      <c r="N51" s="94">
        <f>1/(1+'DCF'!$C$17)^N50</f>
        <v>0.6541584189501246</v>
      </c>
      <c r="O51" s="94">
        <f>1/(1+'DCF'!$C$17)^O50</f>
        <v>0.6314270453186531</v>
      </c>
      <c r="P51" s="94">
        <f>1/(1+'DCF'!$C$17)^P50</f>
        <v>0.6094855649793949</v>
      </c>
      <c r="Q51" s="94">
        <f>1/(1+'DCF'!$C$17)^Q50</f>
        <v>0.5883065299028908</v>
      </c>
      <c r="R51" s="94">
        <f>1/(1+'DCF'!$C$17)^R50</f>
        <v>0.5678634458522112</v>
      </c>
      <c r="S51" s="94">
        <f>1/(1+'DCF'!$C$17)^S50</f>
        <v>0.5481307392395861</v>
      </c>
      <c r="T51" s="94">
        <f>1/(1+'DCF'!$C$17)^T50</f>
        <v>0.5290837251347356</v>
      </c>
      <c r="U51" s="94">
        <f>1/(1+'DCF'!$C$17)^U50</f>
        <v>0.5106985763848798</v>
      </c>
      <c r="V51" s="94">
        <f>1/(1+'DCF'!$C$17)^V50</f>
        <v>0.49295229380779915</v>
      </c>
    </row>
    <row r="52">
      <c r="A52" s="22" t="inlineStr">
        <is>
          <t>现值 PV</t>
        </is>
      </c>
      <c r="B52" s="20" t="inlineStr">
        <is>
          <t>亿元</t>
        </is>
      </c>
      <c r="C52" s="86">
        <f>C49*C51</f>
        <v>-462.4545228514252</v>
      </c>
      <c r="D52" s="86">
        <f>D49*D51</f>
        <v>-432.51298839046797</v>
      </c>
      <c r="E52" s="86">
        <f>E49*E51</f>
        <v>-357.11898303769243</v>
      </c>
      <c r="F52" s="86">
        <f>F49*F51</f>
        <v>-345.0302322833949</v>
      </c>
      <c r="G52" s="86">
        <f>G49*G51</f>
        <v>-295.3293461623327</v>
      </c>
      <c r="H52" s="86">
        <f>H49*H51</f>
        <v>-191.97514743291185</v>
      </c>
      <c r="I52" s="86">
        <f>I49*I51</f>
        <v>-0.8406828281299722</v>
      </c>
      <c r="J52" s="86">
        <f>J49*J51</f>
        <v>176.78390199300816</v>
      </c>
      <c r="K52" s="86">
        <f>K49*K51</f>
        <v>362.36186158290445</v>
      </c>
      <c r="L52" s="86">
        <f>L49*L51</f>
        <v>351.2188783499332</v>
      </c>
      <c r="M52" s="86">
        <f>M49*M51</f>
        <v>340.4438738442148</v>
      </c>
      <c r="N52" s="86">
        <f>N49*N51</f>
        <v>330.0243399205177</v>
      </c>
      <c r="O52" s="86">
        <f>O49*O51</f>
        <v>319.9481988798992</v>
      </c>
      <c r="P52" s="86">
        <f>P49*P51</f>
        <v>310.20378857636194</v>
      </c>
      <c r="Q52" s="86">
        <f>Q49*Q51</f>
        <v>300.77984804005024</v>
      </c>
      <c r="R52" s="86">
        <f>R49*R51</f>
        <v>291.6655035990533</v>
      </c>
      <c r="S52" s="86">
        <f>S49*S51</f>
        <v>282.85025548250366</v>
      </c>
      <c r="T52" s="86">
        <f>T49*T51</f>
        <v>274.3239648882614</v>
      </c>
      <c r="U52" s="86">
        <f>U49*U51</f>
        <v>266.0768414990554</v>
      </c>
      <c r="V52" s="86">
        <f>V49*V51</f>
        <v>258.09943143151077</v>
      </c>
    </row>
    <row r="54">
      <c r="A54" s="68" t="inlineStr">
        <is>
          <t>D. 企业价值→股权价值 EV to equity bridge</t>
        </is>
      </c>
    </row>
    <row r="55">
      <c r="A55" s="22" t="inlineStr">
        <is>
          <t>预测期现值合计（2026–45E）</t>
        </is>
      </c>
      <c r="C55" s="86">
        <f>SUM(C52:V52)</f>
        <v>1779.518785100919</v>
      </c>
    </row>
    <row r="56">
      <c r="A56" s="22" t="inlineStr">
        <is>
          <t>终值年 NOPAT（2045E）</t>
        </is>
      </c>
      <c r="C56" s="86">
        <f>V46</f>
        <v>349.39067723641097</v>
      </c>
    </row>
    <row r="57">
      <c r="A57" s="22" t="inlineStr">
        <is>
          <t>终值 TV（2045E）</t>
        </is>
      </c>
      <c r="C57" s="86">
        <f>C56*(1+'DCF'!$C$18)*(1-'DCF'!$C$18/'DCF'!$C$19)/('DCF'!$C$17-'DCF'!$C$18)</f>
        <v>11104.759636639772</v>
      </c>
    </row>
    <row r="58">
      <c r="A58" s="22" t="inlineStr">
        <is>
          <t>终值现值</t>
        </is>
      </c>
      <c r="C58" s="86">
        <f>C57*V51</f>
        <v>5474.116735065838</v>
      </c>
    </row>
    <row r="59">
      <c r="A59" s="21" t="inlineStr">
        <is>
          <t>企业价值 EV</t>
        </is>
      </c>
      <c r="C59" s="95">
        <f>C55+C58</f>
        <v>7253.6355201667575</v>
      </c>
    </row>
    <row r="60">
      <c r="A60" s="22" t="inlineStr">
        <is>
          <t>终值占 EV 比例</t>
        </is>
      </c>
      <c r="C60" s="97">
        <f>C58/C59</f>
        <v>0.7546721529978377</v>
      </c>
    </row>
    <row r="61">
      <c r="A61" s="22" t="inlineStr">
        <is>
          <t>减：有息负债（2025A）</t>
        </is>
      </c>
      <c r="C61" s="86">
        <f>-'DCF Inputs'!$F$19</f>
        <v>-4450.9221140606005</v>
      </c>
    </row>
    <row r="62">
      <c r="A62" s="22" t="inlineStr">
        <is>
          <t>减：长期应付款（融资租赁等类债务）</t>
        </is>
      </c>
      <c r="C62" s="86">
        <f>-'Balance Sheet'!$F$43</f>
        <v>-235.124479229</v>
      </c>
    </row>
    <row r="63">
      <c r="A63" s="22" t="inlineStr">
        <is>
          <t>加：货币资金</t>
        </is>
      </c>
      <c r="C63" s="85">
        <f>'DCF Inputs'!$F$20</f>
        <v>155.8164274658</v>
      </c>
    </row>
    <row r="64">
      <c r="A64" s="22" t="inlineStr">
        <is>
          <t>减：永续债</t>
        </is>
      </c>
      <c r="C64" s="86">
        <f>-'DCF Inputs'!$F$23</f>
        <v>-10.0</v>
      </c>
    </row>
    <row r="65">
      <c r="A65" s="22" t="inlineStr">
        <is>
          <t>加：长期股权投资（账面）</t>
        </is>
      </c>
      <c r="C65" s="85">
        <f>'DCF Inputs'!$F$24</f>
        <v>103.8528852432</v>
      </c>
    </row>
    <row r="66">
      <c r="A66" s="22" t="inlineStr">
        <is>
          <t>全体股东权益价值（母公司+少数股东）</t>
        </is>
      </c>
      <c r="C66" s="86">
        <f>C59+SUM(C61:C65)</f>
        <v>2817.2582395861573</v>
      </c>
    </row>
    <row r="67">
      <c r="A67" s="22" t="inlineStr">
        <is>
          <t>少数股东权益占比（2030E 少数股东损益占比）</t>
        </is>
      </c>
      <c r="C67" s="96">
        <f>'Income Statement'!$K$66</f>
        <v>0.485</v>
      </c>
    </row>
    <row r="68">
      <c r="A68" s="21" t="inlineStr">
        <is>
          <t>归母股权价值</t>
        </is>
      </c>
      <c r="C68" s="95">
        <f>C66*(1-C67)</f>
        <v>1450.8879933868711</v>
      </c>
    </row>
    <row r="69">
      <c r="A69" s="22" t="inlineStr">
        <is>
          <t>股本（亿股）</t>
        </is>
      </c>
      <c r="C69" s="100">
        <f>'DCF Inputs'!$F$26</f>
        <v>205.14</v>
      </c>
    </row>
    <row r="70">
      <c r="A70" s="21" t="inlineStr">
        <is>
          <t>每股价值（2025-12-31）</t>
        </is>
      </c>
      <c r="C70" s="101">
        <f>C68/C69</f>
        <v>7.072672289104374</v>
      </c>
    </row>
    <row r="71">
      <c r="A71" s="22" t="inlineStr">
        <is>
          <t>股权成本</t>
        </is>
      </c>
      <c r="C71" s="96">
        <f>'DCF'!$C$8</f>
        <v>0.059050000000000005</v>
      </c>
    </row>
    <row r="72">
      <c r="A72" s="22" t="inlineStr">
        <is>
          <t>减：2026 年已派股利（中期 0.02+年末 0.16）</t>
        </is>
      </c>
      <c r="C72" s="82" t="n">
        <v>0.18</v>
      </c>
    </row>
    <row r="73">
      <c r="A73" s="21" t="inlineStr">
        <is>
          <t>每股公允价值（2026-09-30）</t>
        </is>
      </c>
      <c r="C73" s="101">
        <f>C70*(1+C71)^0.75-C72</f>
        <v>7.2036462928271225</v>
      </c>
    </row>
    <row r="74">
      <c r="A74" s="22" t="inlineStr">
        <is>
          <t>减：未来 12 个月股利（≈2026E DPS）</t>
        </is>
      </c>
      <c r="C74" s="102">
        <f>'Income Statement'!$G$78</f>
        <v>0.140816913448678</v>
      </c>
    </row>
    <row r="75">
      <c r="A75" s="21" t="inlineStr">
        <is>
          <t>DCF 12 个月目标价（2027-09）</t>
        </is>
      </c>
      <c r="C75" s="101">
        <f>C73*(1+C71)-C74</f>
        <v>7.4882046929698864</v>
      </c>
    </row>
    <row r="76">
      <c r="A76" s="22" t="inlineStr">
        <is>
          <t>当前股价（2026-09-24）</t>
        </is>
      </c>
      <c r="C76" s="102">
        <f>'DCF Inputs'!$F$30</f>
        <v>8.9</v>
      </c>
    </row>
    <row r="77">
      <c r="A77" s="22" t="inlineStr">
        <is>
          <t>DCF 隐含空间</t>
        </is>
      </c>
      <c r="C77" s="97">
        <f>C75/C76-1</f>
        <v>-0.15862868618315884</v>
      </c>
    </row>
    <row r="79">
      <c r="A79" s="20" t="inlineStr">
        <is>
          <t>注：①少数股东分享约 48% 利润，归母价值按 2030E 少数股东损益占比分配（合资核电站多为 50–72% 控股）；②仅计入现有在运 + 22 台在建及核准机组，未计入“十五五”每年约 6 台新核准的增长价值；③终值采用价值驱动公式，避免 2045E 维护性资本开支低于折旧导致高估。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55A11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6" t="inlineStr">
        <is>
          <t>敏感性分析 Sensitivity — DCF 每股价值（元，2027-09 目标价口径）</t>
        </is>
      </c>
    </row>
    <row r="2">
      <c r="A2" s="7" t="inlineStr">
        <is>
          <t>单位：亿元人民币（另有注明除外）｜蓝色=输入　黑色=公式　绿色=跨表链接</t>
        </is>
      </c>
    </row>
    <row r="4">
      <c r="A4" s="68" t="inlineStr">
        <is>
          <t>表 1：WACC × 永续增长率 g（实时公式）</t>
        </is>
      </c>
    </row>
    <row r="5">
      <c r="A5" s="90" t="inlineStr">
        <is>
          <t>WACC ↓ / g →</t>
        </is>
      </c>
      <c r="B5" s="103" t="n">
        <v>0</v>
      </c>
      <c r="C5" s="103" t="n">
        <v>0.005</v>
      </c>
      <c r="D5" s="103" t="n">
        <v>0.01</v>
      </c>
      <c r="E5" s="103" t="n">
        <v>0.015</v>
      </c>
      <c r="F5" s="103" t="n">
        <v>0.02</v>
      </c>
    </row>
    <row r="6">
      <c r="A6" s="104">
        <f>'DCF'!$C$17+(-0.0075)</f>
        <v>0.028500000000000004</v>
      </c>
      <c r="B6" s="105">
        <f>((((NPV($A6,'DCF'!$C$49:$V$49)+'DCF'!$V$46*(1+B$5)*(1-B$5/'DCF'!$C$19)/($A6-B$5)/(1+$A6)^20)+SUM('DCF'!$C$61:$C$65))*(1-'DCF'!$C$67)/'DCF'!$C$69)*(1+'DCF'!$C$8)^0.75-'DCF'!$C$72)*(1+'DCF'!$C$8)-'DCF'!$C$74</f>
        <v>12.700139868977901</v>
      </c>
      <c r="C6" s="105">
        <f>((((NPV($A6,'DCF'!$C$49:$V$49)+'DCF'!$V$46*(1+C$5)*(1-C$5/'DCF'!$C$19)/($A6-C$5)/(1+$A6)^20)+SUM('DCF'!$C$61:$C$65))*(1-'DCF'!$C$67)/'DCF'!$C$69)*(1+'DCF'!$C$8)^0.75-'DCF'!$C$72)*(1+'DCF'!$C$8)-'DCF'!$C$74</f>
        <v>14.795573245297403</v>
      </c>
      <c r="D6" s="105">
        <f>((((NPV($A6,'DCF'!$C$49:$V$49)+'DCF'!$V$46*(1+D$5)*(1-D$5/'DCF'!$C$19)/($A6-D$5)/(1+$A6)^20)+SUM('DCF'!$C$61:$C$65))*(1-'DCF'!$C$67)/'DCF'!$C$69)*(1+'DCF'!$C$8)^0.75-'DCF'!$C$72)*(1+'DCF'!$C$8)-'DCF'!$C$74</f>
        <v>17.996507563423997</v>
      </c>
      <c r="E6" s="105">
        <f>((((NPV($A6,'DCF'!$C$49:$V$49)+'DCF'!$V$46*(1+E$5)*(1-E$5/'DCF'!$C$19)/($A6-E$5)/(1+$A6)^20)+SUM('DCF'!$C$61:$C$65))*(1-'DCF'!$C$67)/'DCF'!$C$69)*(1+'DCF'!$C$8)^0.75-'DCF'!$C$72)*(1+'DCF'!$C$8)-'DCF'!$C$74</f>
        <v>23.531277203143368</v>
      </c>
      <c r="F6" s="105">
        <f>((((NPV($A6,'DCF'!$C$49:$V$49)+'DCF'!$V$46*(1+F$5)*(1-F$5/'DCF'!$C$19)/($A6-F$5)/(1+$A6)^20)+SUM('DCF'!$C$61:$C$65))*(1-'DCF'!$C$67)/'DCF'!$C$69)*(1+'DCF'!$C$8)^0.75-'DCF'!$C$72)*(1+'DCF'!$C$8)-'DCF'!$C$74</f>
        <v>35.518415084913336</v>
      </c>
    </row>
    <row r="7">
      <c r="A7" s="104">
        <f>'DCF'!$C$17+(-0.005)</f>
        <v>0.031000000000000003</v>
      </c>
      <c r="B7" s="105">
        <f>((((NPV($A7,'DCF'!$C$49:$V$49)+'DCF'!$V$46*(1+B$5)*(1-B$5/'DCF'!$C$19)/($A7-B$5)/(1+$A7)^20)+SUM('DCF'!$C$61:$C$65))*(1-'DCF'!$C$67)/'DCF'!$C$69)*(1+'DCF'!$C$8)^0.75-'DCF'!$C$72)*(1+'DCF'!$C$8)-'DCF'!$C$74</f>
        <v>9.940249265453843</v>
      </c>
      <c r="C7" s="105">
        <f>((((NPV($A7,'DCF'!$C$49:$V$49)+'DCF'!$V$46*(1+C$5)*(1-C$5/'DCF'!$C$19)/($A7-C$5)/(1+$A7)^20)+SUM('DCF'!$C$61:$C$65))*(1-'DCF'!$C$67)/'DCF'!$C$69)*(1+'DCF'!$C$8)^0.75-'DCF'!$C$72)*(1+'DCF'!$C$8)-'DCF'!$C$74</f>
        <v>11.457865190747672</v>
      </c>
      <c r="D7" s="105">
        <f>((((NPV($A7,'DCF'!$C$49:$V$49)+'DCF'!$V$46*(1+D$5)*(1-D$5/'DCF'!$C$19)/($A7-D$5)/(1+$A7)^20)+SUM('DCF'!$C$61:$C$65))*(1-'DCF'!$C$67)/'DCF'!$C$69)*(1+'DCF'!$C$8)^0.75-'DCF'!$C$72)*(1+'DCF'!$C$8)-'DCF'!$C$74</f>
        <v>13.675357892771906</v>
      </c>
      <c r="E7" s="105">
        <f>((((NPV($A7,'DCF'!$C$49:$V$49)+'DCF'!$V$46*(1+E$5)*(1-E$5/'DCF'!$C$19)/($A7-E$5)/(1+$A7)^20)+SUM('DCF'!$C$61:$C$65))*(1-'DCF'!$C$67)/'DCF'!$C$69)*(1+'DCF'!$C$8)^0.75-'DCF'!$C$72)*(1+'DCF'!$C$8)-'DCF'!$C$74</f>
        <v>17.24886184971132</v>
      </c>
      <c r="F7" s="105">
        <f>((((NPV($A7,'DCF'!$C$49:$V$49)+'DCF'!$V$46*(1+F$5)*(1-F$5/'DCF'!$C$19)/($A7-F$5)/(1+$A7)^20)+SUM('DCF'!$C$61:$C$65))*(1-'DCF'!$C$67)/'DCF'!$C$69)*(1+'DCF'!$C$8)^0.75-'DCF'!$C$72)*(1+'DCF'!$C$8)-'DCF'!$C$74</f>
        <v>24.02748331826845</v>
      </c>
    </row>
    <row r="8">
      <c r="A8" s="104">
        <f>'DCF'!$C$17+(-0.0025)</f>
        <v>0.0335</v>
      </c>
      <c r="B8" s="105">
        <f>((((NPV($A8,'DCF'!$C$49:$V$49)+'DCF'!$V$46*(1+B$5)*(1-B$5/'DCF'!$C$19)/($A8-B$5)/(1+$A8)^20)+SUM('DCF'!$C$61:$C$65))*(1-'DCF'!$C$67)/'DCF'!$C$69)*(1+'DCF'!$C$8)^0.75-'DCF'!$C$72)*(1+'DCF'!$C$8)-'DCF'!$C$74</f>
        <v>7.593165667349017</v>
      </c>
      <c r="C8" s="105">
        <f>((((NPV($A8,'DCF'!$C$49:$V$49)+'DCF'!$V$46*(1+C$5)*(1-C$5/'DCF'!$C$19)/($A8-C$5)/(1+$A8)^20)+SUM('DCF'!$C$61:$C$65))*(1-'DCF'!$C$67)/'DCF'!$C$69)*(1+'DCF'!$C$8)^0.75-'DCF'!$C$72)*(1+'DCF'!$C$8)-'DCF'!$C$74</f>
        <v>8.700298613521428</v>
      </c>
      <c r="D8" s="105">
        <f>((((NPV($A8,'DCF'!$C$49:$V$49)+'DCF'!$V$46*(1+D$5)*(1-D$5/'DCF'!$C$19)/($A8-D$5)/(1+$A8)^20)+SUM('DCF'!$C$61:$C$65))*(1-'DCF'!$C$67)/'DCF'!$C$69)*(1+'DCF'!$C$8)^0.75-'DCF'!$C$72)*(1+'DCF'!$C$8)-'DCF'!$C$74</f>
        <v>10.259143021461385</v>
      </c>
      <c r="E8" s="105">
        <f>((((NPV($A8,'DCF'!$C$49:$V$49)+'DCF'!$V$46*(1+E$5)*(1-E$5/'DCF'!$C$19)/($A8-E$5)/(1+$A8)^20)+SUM('DCF'!$C$61:$C$65))*(1-'DCF'!$C$67)/'DCF'!$C$69)*(1+'DCF'!$C$8)^0.75-'DCF'!$C$72)*(1+'DCF'!$C$8)-'DCF'!$C$74</f>
        <v>12.635951427737156</v>
      </c>
      <c r="F8" s="105">
        <f>((((NPV($A8,'DCF'!$C$49:$V$49)+'DCF'!$V$46*(1+F$5)*(1-F$5/'DCF'!$C$19)/($A8-F$5)/(1+$A8)^20)+SUM('DCF'!$C$61:$C$65))*(1-'DCF'!$C$67)/'DCF'!$C$69)*(1+'DCF'!$C$8)^0.75-'DCF'!$C$72)*(1+'DCF'!$C$8)-'DCF'!$C$74</f>
        <v>16.739572719388544</v>
      </c>
    </row>
    <row r="9">
      <c r="A9" s="104">
        <f>'DCF'!$C$17+(0)</f>
        <v>0.036000000000000004</v>
      </c>
      <c r="B9" s="105">
        <f>((((NPV($A9,'DCF'!$C$49:$V$49)+'DCF'!$V$46*(1+B$5)*(1-B$5/'DCF'!$C$19)/($A9-B$5)/(1+$A9)^20)+SUM('DCF'!$C$61:$C$65))*(1-'DCF'!$C$67)/'DCF'!$C$69)*(1+'DCF'!$C$8)^0.75-'DCF'!$C$72)*(1+'DCF'!$C$8)-'DCF'!$C$74</f>
        <v>5.573388824454566</v>
      </c>
      <c r="C9" s="105">
        <f>((((NPV($A9,'DCF'!$C$49:$V$49)+'DCF'!$V$46*(1+C$5)*(1-C$5/'DCF'!$C$19)/($A9-C$5)/(1+$A9)^20)+SUM('DCF'!$C$61:$C$65))*(1-'DCF'!$C$67)/'DCF'!$C$69)*(1+'DCF'!$C$8)^0.75-'DCF'!$C$72)*(1+'DCF'!$C$8)-'DCF'!$C$74</f>
        <v>6.383385712609726</v>
      </c>
      <c r="D9" s="105">
        <f>((((NPV($A9,'DCF'!$C$49:$V$49)+'DCF'!$V$46*(1+D$5)*(1-D$5/'DCF'!$C$19)/($A9-D$5)/(1+$A9)^20)+SUM('DCF'!$C$61:$C$65))*(1-'DCF'!$C$67)/'DCF'!$C$69)*(1+'DCF'!$C$8)^0.75-'DCF'!$C$72)*(1+'DCF'!$C$8)-'DCF'!$C$74</f>
        <v>7.4882046929698864</v>
      </c>
      <c r="E9" s="105">
        <f>((((NPV($A9,'DCF'!$C$49:$V$49)+'DCF'!$V$46*(1+E$5)*(1-E$5/'DCF'!$C$19)/($A9-E$5)/(1+$A9)^20)+SUM('DCF'!$C$61:$C$65))*(1-'DCF'!$C$67)/'DCF'!$C$69)*(1+'DCF'!$C$8)^0.75-'DCF'!$C$72)*(1+'DCF'!$C$8)-'DCF'!$C$74</f>
        <v>9.098432974252892</v>
      </c>
      <c r="F9" s="105">
        <f>((((NPV($A9,'DCF'!$C$49:$V$49)+'DCF'!$V$46*(1+F$5)*(1-F$5/'DCF'!$C$19)/($A9-F$5)/(1+$A9)^20)+SUM('DCF'!$C$61:$C$65))*(1-'DCF'!$C$67)/'DCF'!$C$69)*(1+'DCF'!$C$8)^0.75-'DCF'!$C$72)*(1+'DCF'!$C$8)-'DCF'!$C$74</f>
        <v>11.68789177607393</v>
      </c>
    </row>
    <row r="10">
      <c r="A10" s="104">
        <f>'DCF'!$C$17+(0.0025)</f>
        <v>0.038500000000000006</v>
      </c>
      <c r="B10" s="105">
        <f>((((NPV($A10,'DCF'!$C$49:$V$49)+'DCF'!$V$46*(1+B$5)*(1-B$5/'DCF'!$C$19)/($A10-B$5)/(1+$A10)^20)+SUM('DCF'!$C$61:$C$65))*(1-'DCF'!$C$67)/'DCF'!$C$69)*(1+'DCF'!$C$8)^0.75-'DCF'!$C$72)*(1+'DCF'!$C$8)-'DCF'!$C$74</f>
        <v>3.8175900448928193</v>
      </c>
      <c r="C10" s="105">
        <f>((((NPV($A10,'DCF'!$C$49:$V$49)+'DCF'!$V$46*(1+C$5)*(1-C$5/'DCF'!$C$19)/($A10-C$5)/(1+$A10)^20)+SUM('DCF'!$C$61:$C$65))*(1-'DCF'!$C$67)/'DCF'!$C$69)*(1+'DCF'!$C$8)^0.75-'DCF'!$C$72)*(1+'DCF'!$C$8)-'DCF'!$C$74</f>
        <v>4.409221506596479</v>
      </c>
      <c r="D10" s="105">
        <f>((((NPV($A10,'DCF'!$C$49:$V$49)+'DCF'!$V$46*(1+D$5)*(1-D$5/'DCF'!$C$19)/($A10-D$5)/(1+$A10)^20)+SUM('DCF'!$C$61:$C$65))*(1-'DCF'!$C$67)/'DCF'!$C$69)*(1+'DCF'!$C$8)^0.75-'DCF'!$C$72)*(1+'DCF'!$C$8)-'DCF'!$C$74</f>
        <v>5.1939116558034435</v>
      </c>
      <c r="E10" s="105">
        <f>((((NPV($A10,'DCF'!$C$49:$V$49)+'DCF'!$V$46*(1+E$5)*(1-E$5/'DCF'!$C$19)/($A10-E$5)/(1+$A10)^20)+SUM('DCF'!$C$61:$C$65))*(1-'DCF'!$C$67)/'DCF'!$C$69)*(1+'DCF'!$C$8)^0.75-'DCF'!$C$72)*(1+'DCF'!$C$8)-'DCF'!$C$74</f>
        <v>6.2948894419838926</v>
      </c>
      <c r="F10" s="105">
        <f>((((NPV($A10,'DCF'!$C$49:$V$49)+'DCF'!$V$46*(1+F$5)*(1-F$5/'DCF'!$C$19)/($A10-F$5)/(1+$A10)^20)+SUM('DCF'!$C$61:$C$65))*(1-'DCF'!$C$67)/'DCF'!$C$69)*(1+'DCF'!$C$8)^0.75-'DCF'!$C$72)*(1+'DCF'!$C$8)-'DCF'!$C$74</f>
        <v>7.968604300521752</v>
      </c>
    </row>
    <row r="11">
      <c r="A11" s="104">
        <f>'DCF'!$C$17+(0.005)</f>
        <v>0.041</v>
      </c>
      <c r="B11" s="105">
        <f>((((NPV($A11,'DCF'!$C$49:$V$49)+'DCF'!$V$46*(1+B$5)*(1-B$5/'DCF'!$C$19)/($A11-B$5)/(1+$A11)^20)+SUM('DCF'!$C$61:$C$65))*(1-'DCF'!$C$67)/'DCF'!$C$69)*(1+'DCF'!$C$8)^0.75-'DCF'!$C$72)*(1+'DCF'!$C$8)-'DCF'!$C$74</f>
        <v>2.2778547469801613</v>
      </c>
      <c r="C11" s="105">
        <f>((((NPV($A11,'DCF'!$C$49:$V$49)+'DCF'!$V$46*(1+C$5)*(1-C$5/'DCF'!$C$19)/($A11-C$5)/(1+$A11)^20)+SUM('DCF'!$C$61:$C$65))*(1-'DCF'!$C$67)/'DCF'!$C$69)*(1+'DCF'!$C$8)^0.75-'DCF'!$C$72)*(1+'DCF'!$C$8)-'DCF'!$C$74</f>
        <v>2.707048514980281</v>
      </c>
      <c r="D11" s="105">
        <f>((((NPV($A11,'DCF'!$C$49:$V$49)+'DCF'!$V$46*(1+D$5)*(1-D$5/'DCF'!$C$19)/($A11-D$5)/(1+$A11)^20)+SUM('DCF'!$C$61:$C$65))*(1-'DCF'!$C$67)/'DCF'!$C$69)*(1+'DCF'!$C$8)^0.75-'DCF'!$C$72)*(1+'DCF'!$C$8)-'DCF'!$C$74</f>
        <v>3.2619596978097447</v>
      </c>
      <c r="E11" s="105">
        <f>((((NPV($A11,'DCF'!$C$49:$V$49)+'DCF'!$V$46*(1+E$5)*(1-E$5/'DCF'!$C$19)/($A11-E$5)/(1+$A11)^20)+SUM('DCF'!$C$61:$C$65))*(1-'DCF'!$C$67)/'DCF'!$C$69)*(1+'DCF'!$C$8)^0.75-'DCF'!$C$72)*(1+'DCF'!$C$8)-'DCF'!$C$74</f>
        <v>4.015117573254709</v>
      </c>
      <c r="F11" s="105">
        <f>((((NPV($A11,'DCF'!$C$49:$V$49)+'DCF'!$V$46*(1+F$5)*(1-F$5/'DCF'!$C$19)/($A11-F$5)/(1+$A11)^20)+SUM('DCF'!$C$61:$C$65))*(1-'DCF'!$C$67)/'DCF'!$C$69)*(1+'DCF'!$C$8)^0.75-'DCF'!$C$72)*(1+'DCF'!$C$8)-'DCF'!$C$74</f>
        <v>5.108126921754811</v>
      </c>
    </row>
    <row r="12">
      <c r="A12" s="104">
        <f>'DCF'!$C$17+(0.0075)</f>
        <v>0.043500000000000004</v>
      </c>
      <c r="B12" s="105">
        <f>((((NPV($A12,'DCF'!$C$49:$V$49)+'DCF'!$V$46*(1+B$5)*(1-B$5/'DCF'!$C$19)/($A12-B$5)/(1+$A12)^20)+SUM('DCF'!$C$61:$C$65))*(1-'DCF'!$C$67)/'DCF'!$C$69)*(1+'DCF'!$C$8)^0.75-'DCF'!$C$72)*(1+'DCF'!$C$8)-'DCF'!$C$74</f>
        <v>0.9172550390444504</v>
      </c>
      <c r="C12" s="105">
        <f>((((NPV($A12,'DCF'!$C$49:$V$49)+'DCF'!$V$46*(1+C$5)*(1-C$5/'DCF'!$C$19)/($A12-C$5)/(1+$A12)^20)+SUM('DCF'!$C$61:$C$65))*(1-'DCF'!$C$67)/'DCF'!$C$69)*(1+'DCF'!$C$8)^0.75-'DCF'!$C$72)*(1+'DCF'!$C$8)-'DCF'!$C$74</f>
        <v>1.2244454102567879</v>
      </c>
      <c r="D12" s="105">
        <f>((((NPV($A12,'DCF'!$C$49:$V$49)+'DCF'!$V$46*(1+D$5)*(1-D$5/'DCF'!$C$19)/($A12-D$5)/(1+$A12)^20)+SUM('DCF'!$C$61:$C$65))*(1-'DCF'!$C$67)/'DCF'!$C$69)*(1+'DCF'!$C$8)^0.75-'DCF'!$C$72)*(1+'DCF'!$C$8)-'DCF'!$C$74</f>
        <v>1.6121042526883351</v>
      </c>
      <c r="E12" s="105">
        <f>((((NPV($A12,'DCF'!$C$49:$V$49)+'DCF'!$V$46*(1+E$5)*(1-E$5/'DCF'!$C$19)/($A12-E$5)/(1+$A12)^20)+SUM('DCF'!$C$61:$C$65))*(1-'DCF'!$C$67)/'DCF'!$C$69)*(1+'DCF'!$C$8)^0.75-'DCF'!$C$72)*(1+'DCF'!$C$8)-'DCF'!$C$74</f>
        <v>2.1225833932965674</v>
      </c>
      <c r="F12" s="105">
        <f>((((NPV($A12,'DCF'!$C$49:$V$49)+'DCF'!$V$46*(1+F$5)*(1-F$5/'DCF'!$C$19)/($A12-F$5)/(1+$A12)^20)+SUM('DCF'!$C$61:$C$65))*(1-'DCF'!$C$67)/'DCF'!$C$69)*(1+'DCF'!$C$8)^0.75-'DCF'!$C$72)*(1+'DCF'!$C$8)-'DCF'!$C$74</f>
        <v>2.8342787670878766</v>
      </c>
    </row>
    <row r="13">
      <c r="A13" s="20" t="inlineStr">
        <is>
          <t>基准：WACC 与 g 见 DCF 工作表；中心格应等于 DCF 目标价</t>
        </is>
      </c>
    </row>
    <row r="15">
      <c r="A15" s="68" t="inlineStr">
        <is>
          <t>表 2：核电电价（含税，元/kWh，相对基准）× 利用小时（相对基准）— 全模型重算（静态）</t>
        </is>
      </c>
    </row>
    <row r="16">
      <c r="A16" s="90" t="inlineStr">
        <is>
          <t>电价变动 ↓ / 小时变动 →</t>
        </is>
      </c>
      <c r="B16" s="106" t="n">
        <v>-300</v>
      </c>
      <c r="C16" s="106" t="n">
        <v>-150</v>
      </c>
      <c r="D16" s="106" t="n">
        <v>0</v>
      </c>
      <c r="E16" s="106" t="n">
        <v>150</v>
      </c>
      <c r="F16" s="106" t="n">
        <v>300</v>
      </c>
    </row>
    <row r="17">
      <c r="A17" s="107" t="n">
        <v>-0.02</v>
      </c>
      <c r="B17" s="108" t="n">
        <v>1.444574826761716</v>
      </c>
      <c r="C17" s="108" t="n">
        <v>2.464167394466645</v>
      </c>
      <c r="D17" s="108" t="n">
        <v>3.483759819822018</v>
      </c>
      <c r="E17" s="108" t="n">
        <v>4.503352109348651</v>
      </c>
      <c r="F17" s="108" t="n">
        <v>5.522944269175021</v>
      </c>
    </row>
    <row r="18">
      <c r="A18" s="107" t="n">
        <v>-0.01</v>
      </c>
      <c r="B18" s="108" t="n">
        <v>3.371210650153912</v>
      </c>
      <c r="C18" s="108" t="n">
        <v>4.428596675630422</v>
      </c>
      <c r="D18" s="108" t="n">
        <v>5.485982559790804</v>
      </c>
      <c r="E18" s="108" t="n">
        <v>6.543368309139835</v>
      </c>
      <c r="F18" s="108" t="n">
        <v>7.600753929789006</v>
      </c>
    </row>
    <row r="19">
      <c r="A19" s="107" t="n">
        <v>0</v>
      </c>
      <c r="B19" s="108" t="n">
        <v>5.297845865941806</v>
      </c>
      <c r="C19" s="108" t="n">
        <v>6.393025349579752</v>
      </c>
      <c r="D19" s="108" t="n">
        <v>7.488204692969886</v>
      </c>
      <c r="E19" s="108" t="n">
        <v>8.583383902597436</v>
      </c>
      <c r="F19" s="108" t="n">
        <v>9.678562984553833</v>
      </c>
    </row>
    <row r="20">
      <c r="A20" s="107" t="n">
        <v>0.01</v>
      </c>
      <c r="B20" s="108" t="n">
        <v>7.224480513327301</v>
      </c>
      <c r="C20" s="108" t="n">
        <v>8.357453455621433</v>
      </c>
      <c r="D20" s="108" t="n">
        <v>9.490426258764408</v>
      </c>
      <c r="E20" s="108" t="n">
        <v>10.62339892921886</v>
      </c>
      <c r="F20" s="108" t="n">
        <v>11.75637147305334</v>
      </c>
    </row>
    <row r="21">
      <c r="A21" s="107" t="n">
        <v>0.02</v>
      </c>
      <c r="B21" s="108" t="n">
        <v>9.151114628210985</v>
      </c>
      <c r="C21" s="108" t="n">
        <v>10.32188102974134</v>
      </c>
      <c r="D21" s="108" t="n">
        <v>11.49264729323982</v>
      </c>
      <c r="E21" s="108" t="n">
        <v>12.66341342514383</v>
      </c>
      <c r="F21" s="108" t="n">
        <v>13.83417943149659</v>
      </c>
    </row>
    <row r="22">
      <c r="A22" s="20" t="inlineStr">
        <is>
          <t>每格为将基准情景 2026–30E 电价/小时整体平移后，全模型（收入→利润→现金流→DCF）重算的 DCF 目标价；静态快照。</t>
        </is>
      </c>
    </row>
    <row r="24">
      <c r="A24" s="68" t="inlineStr">
        <is>
          <t>表 3：资本开支超支 × 新机组延迟 — 全模型重算（静态）</t>
        </is>
      </c>
    </row>
    <row r="25">
      <c r="A25" s="90" t="inlineStr">
        <is>
          <t>资本开支超支 ↓ / 投产延迟（年） →</t>
        </is>
      </c>
      <c r="B25" s="109" t="n">
        <v>0</v>
      </c>
      <c r="C25" s="109" t="n">
        <v>1</v>
      </c>
      <c r="D25" s="109" t="n">
        <v>2</v>
      </c>
    </row>
    <row r="26">
      <c r="A26" s="110" t="n">
        <v>0</v>
      </c>
      <c r="B26" s="108" t="n">
        <v>7.488204692969886</v>
      </c>
      <c r="C26" s="108" t="n">
        <v>6.489037873293646</v>
      </c>
      <c r="D26" s="108" t="n">
        <v>5.968143431657329</v>
      </c>
    </row>
    <row r="27">
      <c r="A27" s="110" t="n">
        <v>0.05</v>
      </c>
      <c r="B27" s="108" t="n">
        <v>7.030309682218673</v>
      </c>
      <c r="C27" s="108" t="n">
        <v>6.031142862542441</v>
      </c>
      <c r="D27" s="108" t="n">
        <v>5.510248420906134</v>
      </c>
    </row>
    <row r="28">
      <c r="A28" s="110" t="n">
        <v>0.1</v>
      </c>
      <c r="B28" s="108" t="n">
        <v>6.572414671467463</v>
      </c>
      <c r="C28" s="108" t="n">
        <v>5.573247851791229</v>
      </c>
      <c r="D28" s="108" t="n">
        <v>5.052353410154915</v>
      </c>
    </row>
    <row r="29">
      <c r="A29" s="20" t="inlineStr">
        <is>
          <t>基准情景下叠加资本开支超支与全部新机组延迟；静态快照。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55A11"/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9" customWidth="1" min="11" max="11"/>
    <col width="70" customWidth="1" min="12" max="12"/>
  </cols>
  <sheetData>
    <row r="1">
      <c r="A1" s="6" t="inlineStr">
        <is>
          <t>可比公司 Comparable companies（市场数据为 2026 年 8–9 月快照；来源见 L 列）</t>
        </is>
      </c>
    </row>
    <row r="2">
      <c r="A2" s="7" t="inlineStr">
        <is>
          <t>单位：亿元人民币（另有注明除外）｜蓝色=输入　黑色=公式　绿色=跨表链接</t>
        </is>
      </c>
    </row>
    <row r="4">
      <c r="A4" s="90" t="inlineStr">
        <is>
          <t>公司</t>
        </is>
      </c>
      <c r="B4" s="90" t="inlineStr">
        <is>
          <t>代码</t>
        </is>
      </c>
      <c r="C4" s="90" t="inlineStr">
        <is>
          <t>类别</t>
        </is>
      </c>
      <c r="D4" s="90" t="inlineStr">
        <is>
          <t>PE（动态/预测）</t>
        </is>
      </c>
      <c r="E4" s="90" t="inlineStr">
        <is>
          <t>PE TTM</t>
        </is>
      </c>
      <c r="F4" s="90" t="inlineStr">
        <is>
          <t>PB</t>
        </is>
      </c>
      <c r="G4" s="90" t="inlineStr">
        <is>
          <t>股息率</t>
        </is>
      </c>
      <c r="H4" s="90" t="inlineStr">
        <is>
          <t>2026H1 归母净利同比</t>
        </is>
      </c>
      <c r="I4" s="90" t="inlineStr">
        <is>
          <t>计入统计</t>
        </is>
      </c>
      <c r="J4" s="90" t="inlineStr"/>
      <c r="K4" s="90" t="inlineStr"/>
      <c r="L4" s="90" t="inlineStr">
        <is>
          <t>来源 / 口径说明</t>
        </is>
      </c>
    </row>
    <row r="5">
      <c r="A5" t="inlineStr">
        <is>
          <t>中国广核 A</t>
        </is>
      </c>
      <c r="B5" t="inlineStr">
        <is>
          <t>003816.SZ</t>
        </is>
      </c>
      <c r="C5" t="inlineStr">
        <is>
          <t>核电</t>
        </is>
      </c>
      <c r="D5" s="111" t="n">
        <v>17.9</v>
      </c>
      <c r="E5" s="111" t="n">
        <v>19</v>
      </c>
      <c r="F5" s="112" t="n">
        <v>1.6</v>
      </c>
      <c r="G5" s="113" t="n">
        <v>0.0223</v>
      </c>
      <c r="H5" s="113" t="n">
        <v>0.0266</v>
      </c>
      <c r="I5" s="114" t="n">
        <v>1</v>
      </c>
      <c r="L5" s="115" t="inlineStr">
        <is>
          <t>PE TTM 19.0、PB 1.60、股息率 2.23%（理杏仁/同花顺快照）；PE 预测=TTM×TTM 净利 99.2 亿/2026E 一致预期 105.35 亿（推算）</t>
        </is>
      </c>
    </row>
    <row r="6">
      <c r="A6" t="inlineStr">
        <is>
          <t>中广核电力 H</t>
        </is>
      </c>
      <c r="B6" t="inlineStr">
        <is>
          <t>1816.HK</t>
        </is>
      </c>
      <c r="C6" t="inlineStr">
        <is>
          <t>核电</t>
        </is>
      </c>
      <c r="D6" s="111" t="n">
        <v>15</v>
      </c>
      <c r="E6" s="111" t="n">
        <v>15</v>
      </c>
      <c r="F6" s="112" t="n">
        <v>1.26</v>
      </c>
      <c r="G6" s="113" t="n">
        <v>0.0284</v>
      </c>
      <c r="H6" s="113" t="n">
        <v>0.0266</v>
      </c>
      <c r="I6" s="114" t="n">
        <v>1</v>
      </c>
      <c r="L6" s="115" t="inlineStr">
        <is>
          <t>PE TTM 14.05–15.94 取中值；PB 1.26；股息率 2.84%（gu.qq.com/investing）</t>
        </is>
      </c>
    </row>
    <row r="7">
      <c r="A7" t="inlineStr">
        <is>
          <t>电投产融</t>
        </is>
      </c>
      <c r="B7" t="inlineStr">
        <is>
          <t>000958.SZ</t>
        </is>
      </c>
      <c r="C7" t="inlineStr">
        <is>
          <t>核电</t>
        </is>
      </c>
      <c r="D7" s="111" t="n">
        <v>23</v>
      </c>
      <c r="E7" s="111" t="n">
        <v>31.2</v>
      </c>
      <c r="F7" s="112" t="n">
        <v>2.16</v>
      </c>
      <c r="I7" s="114" t="n">
        <v>1</v>
      </c>
      <c r="L7" s="115" t="inlineStr">
        <is>
          <t>国家电投核电平台（2026-01 完成重组）；PE 动态 22.1–23.8、静态 30.0–32.3、PB 1.97–2.35 取中值</t>
        </is>
      </c>
    </row>
    <row r="8">
      <c r="A8" t="inlineStr">
        <is>
          <t>长江电力</t>
        </is>
      </c>
      <c r="B8" t="inlineStr">
        <is>
          <t>600900.SH</t>
        </is>
      </c>
      <c r="C8" t="inlineStr">
        <is>
          <t>水电</t>
        </is>
      </c>
      <c r="D8" s="111" t="n">
        <v>25.3</v>
      </c>
      <c r="E8" s="111" t="n">
        <v>19.8</v>
      </c>
      <c r="F8" s="112" t="n">
        <v>3</v>
      </c>
      <c r="G8" s="113" t="n">
        <v>0.0355</v>
      </c>
      <c r="H8" s="113" t="n">
        <v>0.1302</v>
      </c>
      <c r="I8" s="114" t="n">
        <v>1</v>
      </c>
      <c r="L8" s="115" t="inlineStr">
        <is>
          <t>PE 动态 25.3 / 静态 19.8；PB 3.00；股息率 3.55%</t>
        </is>
      </c>
    </row>
    <row r="9">
      <c r="A9" t="inlineStr">
        <is>
          <t>国投电力</t>
        </is>
      </c>
      <c r="B9" t="inlineStr">
        <is>
          <t>600886.SH</t>
        </is>
      </c>
      <c r="C9" t="inlineStr">
        <is>
          <t>水电/综合</t>
        </is>
      </c>
      <c r="D9" s="111" t="n">
        <v>15</v>
      </c>
      <c r="E9" s="111" t="n">
        <v>14.8</v>
      </c>
      <c r="F9" s="112" t="n">
        <v>1.63</v>
      </c>
      <c r="G9" s="113" t="n">
        <v>0.033</v>
      </c>
      <c r="H9" s="113" t="n">
        <v>-0.0683</v>
      </c>
      <c r="I9" s="114" t="n">
        <v>1</v>
      </c>
      <c r="L9" s="115" t="inlineStr">
        <is>
          <t>PE 2026E 约 14.5–15.5（EPS 0.89–0.95 推算）；PB 1.60–1.67</t>
        </is>
      </c>
    </row>
    <row r="10">
      <c r="A10" t="inlineStr">
        <is>
          <t>川投能源</t>
        </is>
      </c>
      <c r="B10" t="inlineStr">
        <is>
          <t>600674.SH</t>
        </is>
      </c>
      <c r="C10" t="inlineStr">
        <is>
          <t>水电</t>
        </is>
      </c>
      <c r="D10" s="111" t="n">
        <v>15.9</v>
      </c>
      <c r="E10" s="111" t="n">
        <v>15.9</v>
      </c>
      <c r="F10" s="112" t="n">
        <v>1.69</v>
      </c>
      <c r="H10" s="113" t="n">
        <v>-0.0534</v>
      </c>
      <c r="I10" s="114" t="n">
        <v>1</v>
      </c>
      <c r="L10" s="115" t="inlineStr">
        <is>
          <t>PE 静态 15.9；PB 1.69；承诺 2026–28 分红率≥50%</t>
        </is>
      </c>
    </row>
    <row r="11">
      <c r="A11" t="inlineStr">
        <is>
          <t>三峡能源</t>
        </is>
      </c>
      <c r="B11" t="inlineStr">
        <is>
          <t>600905.SH</t>
        </is>
      </c>
      <c r="C11" t="inlineStr">
        <is>
          <t>新能源</t>
        </is>
      </c>
      <c r="D11" s="111" t="n">
        <v>29.5</v>
      </c>
      <c r="E11" s="111" t="n">
        <v>33</v>
      </c>
      <c r="F11" s="112" t="n">
        <v>1.37</v>
      </c>
      <c r="G11" s="113" t="n">
        <v>0.011</v>
      </c>
      <c r="H11" s="113" t="n">
        <v>-0.6805</v>
      </c>
      <c r="I11" s="114" t="n">
        <v>1</v>
      </c>
      <c r="L11" s="115" t="inlineStr">
        <is>
          <t>PE 动态 29.5 / 静态 33.0；PB 1.37；股息率 1.10%</t>
        </is>
      </c>
    </row>
    <row r="12">
      <c r="A12" t="inlineStr">
        <is>
          <t>龙源电力</t>
        </is>
      </c>
      <c r="B12" t="inlineStr">
        <is>
          <t>001289.SZ</t>
        </is>
      </c>
      <c r="C12" t="inlineStr">
        <is>
          <t>新能源</t>
        </is>
      </c>
      <c r="D12" s="111" t="n">
        <v>26</v>
      </c>
      <c r="F12" s="112" t="n">
        <v>1.62</v>
      </c>
      <c r="G12" s="113" t="n">
        <v>0.017</v>
      </c>
      <c r="H12" s="113" t="n">
        <v>-0.291</v>
      </c>
      <c r="I12" s="114" t="n">
        <v>1</v>
      </c>
      <c r="L12" s="115" t="inlineStr">
        <is>
          <t>PE 动态 26.1；PB 1.62；股息率 1.28–2.14% 取中值</t>
        </is>
      </c>
    </row>
    <row r="13">
      <c r="A13" t="inlineStr">
        <is>
          <t>华能国际</t>
        </is>
      </c>
      <c r="B13" t="inlineStr">
        <is>
          <t>600011.SH</t>
        </is>
      </c>
      <c r="C13" t="inlineStr">
        <is>
          <t>火电（参考）</t>
        </is>
      </c>
      <c r="D13" s="111" t="n">
        <v>8.5</v>
      </c>
      <c r="E13" s="111" t="n">
        <v>8.5</v>
      </c>
      <c r="F13" s="112" t="n">
        <v>0.84</v>
      </c>
      <c r="G13" s="113" t="n">
        <v>0.053</v>
      </c>
      <c r="H13" s="113" t="n">
        <v>-0.2889</v>
      </c>
      <c r="I13" s="114" t="n">
        <v>0</v>
      </c>
      <c r="L13" s="115" t="inlineStr">
        <is>
          <t>仅参考，不计入统计：火电周期属性</t>
        </is>
      </c>
    </row>
    <row r="14">
      <c r="A14" t="inlineStr">
        <is>
          <t>Constellation</t>
        </is>
      </c>
      <c r="B14" t="inlineStr">
        <is>
          <t>CEG.US</t>
        </is>
      </c>
      <c r="C14" t="inlineStr">
        <is>
          <t>美国核电（参考）</t>
        </is>
      </c>
      <c r="D14" s="111" t="n">
        <v>23.9</v>
      </c>
      <c r="I14" s="114" t="n">
        <v>0</v>
      </c>
      <c r="L14" s="115" t="inlineStr">
        <is>
          <t>FY26 远期 PE 23.9（gurufocus，2026-09-25）；美国核电享受数据中心购电溢价，不计入统计</t>
        </is>
      </c>
    </row>
    <row r="16">
      <c r="A16" s="21" t="inlineStr">
        <is>
          <t>统计（前 8 家，I 列=1）Statistical summary</t>
        </is>
      </c>
    </row>
    <row r="17">
      <c r="A17" s="21" t="inlineStr">
        <is>
          <t>最大值 Max</t>
        </is>
      </c>
      <c r="D17" s="116">
        <f>MAX(D5:D12)</f>
        <v>29.5</v>
      </c>
      <c r="E17" s="116">
        <f>MAX(E5:E12)</f>
        <v>33.0</v>
      </c>
      <c r="F17" s="117">
        <f>MAX(F5:F12)</f>
        <v>3.0</v>
      </c>
      <c r="G17" s="87">
        <f>MAX(G5:G12)</f>
        <v>0.0355</v>
      </c>
      <c r="H17" s="87">
        <f>MAX(H5:H12)</f>
        <v>0.1302</v>
      </c>
    </row>
    <row r="18">
      <c r="A18" s="21" t="inlineStr">
        <is>
          <t>75 分位 75th</t>
        </is>
      </c>
      <c r="D18" s="116">
        <f>PERCENTILE(D5:D12,0.75)</f>
        <v>25.475</v>
      </c>
      <c r="E18" s="116">
        <f>PERCENTILE(E5:E12,0.75)</f>
        <v>25.5</v>
      </c>
      <c r="F18" s="117">
        <f>PERCENTILE(F5:F12,0.75)</f>
        <v>1.8075</v>
      </c>
      <c r="G18" s="87">
        <f>PERCENTILE(G5:G12,0.75)</f>
        <v>0.03185</v>
      </c>
      <c r="H18" s="87">
        <f>PERCENTILE(H5:H12,0.75)</f>
        <v>0.0266</v>
      </c>
    </row>
    <row r="19">
      <c r="A19" s="21" t="inlineStr">
        <is>
          <t>中位数 Median</t>
        </is>
      </c>
      <c r="D19" s="116">
        <f>MEDIAN(D5:D12)</f>
        <v>20.45</v>
      </c>
      <c r="E19" s="116">
        <f>MEDIAN(E5:E12)</f>
        <v>19.0</v>
      </c>
      <c r="F19" s="117">
        <f>MEDIAN(F5:F12)</f>
        <v>1.625</v>
      </c>
      <c r="G19" s="87">
        <f>MEDIAN(G5:G12)</f>
        <v>0.02535</v>
      </c>
      <c r="H19" s="87">
        <f>MEDIAN(H5:H12)</f>
        <v>-0.0534</v>
      </c>
    </row>
    <row r="20">
      <c r="A20" s="21" t="inlineStr">
        <is>
          <t>25 分位 25th</t>
        </is>
      </c>
      <c r="D20" s="116">
        <f>PERCENTILE(D5:D12,0.25)</f>
        <v>15.675</v>
      </c>
      <c r="E20" s="116">
        <f>PERCENTILE(E5:E12,0.25)</f>
        <v>15.45</v>
      </c>
      <c r="F20" s="117">
        <f>PERCENTILE(F5:F12,0.25)</f>
        <v>1.5425</v>
      </c>
      <c r="G20" s="87">
        <f>PERCENTILE(G5:G12,0.25)</f>
        <v>0.018325</v>
      </c>
      <c r="H20" s="87">
        <f>PERCENTILE(H5:H12,0.25)</f>
        <v>-0.17964999999999998</v>
      </c>
    </row>
    <row r="21">
      <c r="A21" s="21" t="inlineStr">
        <is>
          <t>最小值 Min</t>
        </is>
      </c>
      <c r="D21" s="116">
        <f>MIN(D5:D12)</f>
        <v>15.0</v>
      </c>
      <c r="E21" s="116">
        <f>MIN(E5:E12)</f>
        <v>14.8</v>
      </c>
      <c r="F21" s="117">
        <f>MIN(F5:F12)</f>
        <v>1.26</v>
      </c>
      <c r="G21" s="87">
        <f>MIN(G5:G12)</f>
        <v>0.011</v>
      </c>
      <c r="H21" s="87">
        <f>MIN(H5:H12)</f>
        <v>-0.6805</v>
      </c>
    </row>
    <row r="22">
      <c r="A22" s="21" t="inlineStr">
        <is>
          <t>核电同行均值（3 家）</t>
        </is>
      </c>
      <c r="D22" s="116">
        <f>AVERAGE(D5:D7)</f>
        <v>18.633333333333333</v>
      </c>
      <c r="E22" s="116">
        <f>AVERAGE(E5:E7)</f>
        <v>21.733333333333334</v>
      </c>
      <c r="F22" s="117">
        <f>AVERAGE(F5:F7)</f>
        <v>1.6733333333333336</v>
      </c>
      <c r="G22" s="87">
        <f>AVERAGE(G5:G7)</f>
        <v>0.02535</v>
      </c>
    </row>
    <row r="24">
      <c r="A24" s="21" t="inlineStr">
        <is>
          <t>中国核电（模型，基准情景）</t>
        </is>
      </c>
      <c r="D24" s="118">
        <f>'DCF Inputs'!$G$32</f>
        <v>25.281054049643508</v>
      </c>
      <c r="E24" s="116">
        <f>'DCF'!$C$76/(('Income Statement'!$F$68-56.66+36.41)/'Income Statement'!$G$74)</f>
        <v>25.08164504884909</v>
      </c>
      <c r="F24" s="119">
        <f>'DCF Inputs'!$F$33</f>
        <v>1.550954070240082</v>
      </c>
      <c r="G24" s="120">
        <f>'DCF Inputs'!$G$34</f>
        <v>0.015822125106593032</v>
      </c>
      <c r="H24" s="113" t="n">
        <v>-0.3574</v>
      </c>
      <c r="L24" s="115" t="inlineStr">
        <is>
          <t>PE 预测=2026-09-24 股价 8.90 元 / 模型 2026E EPS；PE TTM 用 2025A 归母 − 2025H1 56.66 + 2026H1 36.41；历史 PE 区间 12.0–30.7 倍、均值 19.0 倍，当前处 5 年 97% 分位（亿牛网）</t>
        </is>
      </c>
    </row>
    <row r="26">
      <c r="A26" s="68" t="inlineStr">
        <is>
          <t>可比估值法 Implied share price</t>
        </is>
      </c>
    </row>
    <row r="27">
      <c r="A27" s="90" t="inlineStr">
        <is>
          <t>方法</t>
        </is>
      </c>
      <c r="B27" s="90" t="inlineStr">
        <is>
          <t>倍数列</t>
        </is>
      </c>
      <c r="C27" s="90" t="inlineStr">
        <is>
          <t>中国核电指标</t>
        </is>
      </c>
      <c r="D27" s="90" t="inlineStr">
        <is>
          <t>25 分位</t>
        </is>
      </c>
      <c r="E27" s="90" t="inlineStr">
        <is>
          <t>中位数</t>
        </is>
      </c>
      <c r="F27" s="90" t="inlineStr">
        <is>
          <t>75 分位</t>
        </is>
      </c>
      <c r="G27" s="90" t="inlineStr">
        <is>
          <t>隐含股价 低</t>
        </is>
      </c>
      <c r="H27" s="90" t="inlineStr">
        <is>
          <t>隐含股价 中</t>
        </is>
      </c>
      <c r="I27" s="90" t="inlineStr">
        <is>
          <t>隐含股价 高</t>
        </is>
      </c>
      <c r="J27" s="90" t="inlineStr"/>
      <c r="K27" s="90" t="inlineStr"/>
      <c r="L27" s="90" t="inlineStr">
        <is>
          <t>说明</t>
        </is>
      </c>
    </row>
    <row r="28">
      <c r="A28" t="inlineStr">
        <is>
          <t>PE（2027E EPS）</t>
        </is>
      </c>
      <c r="B28" t="inlineStr">
        <is>
          <t>D</t>
        </is>
      </c>
      <c r="C28" s="121">
        <f>'Income Statement'!$H$75</f>
        <v>0.39886861985436783</v>
      </c>
      <c r="D28" s="116">
        <f>D20</f>
        <v>15.675</v>
      </c>
      <c r="E28" s="116">
        <f>D19</f>
        <v>20.45</v>
      </c>
      <c r="F28" s="116">
        <f>D18</f>
        <v>25.475</v>
      </c>
      <c r="G28" s="105">
        <f>C28*D28</f>
        <v>6.252265616217216</v>
      </c>
      <c r="H28" s="105">
        <f>C28*E28</f>
        <v>8.156863276021822</v>
      </c>
      <c r="I28" s="105">
        <f>C28*F28</f>
        <v>10.16117809079002</v>
      </c>
      <c r="L28" s="115" t="inlineStr">
        <is>
          <t>以 2027E（12 个月后市场定价年份）EPS × 同行 PE</t>
        </is>
      </c>
    </row>
    <row r="29">
      <c r="A29" t="inlineStr">
        <is>
          <t>PB（2026E BVPS）</t>
        </is>
      </c>
      <c r="B29" t="inlineStr">
        <is>
          <t>F</t>
        </is>
      </c>
      <c r="C29" s="122">
        <f>('Balance Sheet'!$G$57-'Balance Sheet'!$G$52)/'Income Statement'!$G$74</f>
        <v>5.91044050835785</v>
      </c>
      <c r="D29" s="117">
        <f>F20</f>
        <v>1.5425</v>
      </c>
      <c r="E29" s="117">
        <f>F19</f>
        <v>1.625</v>
      </c>
      <c r="F29" s="117">
        <f>F18</f>
        <v>1.8075</v>
      </c>
      <c r="G29" s="105">
        <f>C29*D29</f>
        <v>9.116854484141983</v>
      </c>
      <c r="H29" s="105">
        <f>C29*E29</f>
        <v>9.604465826081507</v>
      </c>
      <c r="I29" s="105">
        <f>C29*F29</f>
        <v>10.683121218856815</v>
      </c>
      <c r="L29" s="115" t="inlineStr">
        <is>
          <t>2026E 每股归母净资产（不含永续债）× 同行 PB</t>
        </is>
      </c>
    </row>
    <row r="30">
      <c r="A30" t="inlineStr">
        <is>
          <t>股息率（2026E DPS）</t>
        </is>
      </c>
      <c r="B30" t="inlineStr">
        <is>
          <t>G</t>
        </is>
      </c>
      <c r="C30" s="121">
        <f>'Income Statement'!$G$78</f>
        <v>0.140816913448678</v>
      </c>
      <c r="D30" s="87">
        <f>G20</f>
        <v>0.018325</v>
      </c>
      <c r="E30" s="87">
        <f>G19</f>
        <v>0.02535</v>
      </c>
      <c r="F30" s="87">
        <f>G18</f>
        <v>0.03185</v>
      </c>
      <c r="G30" s="105">
        <f>C30/F30</f>
        <v>4.421253169503234</v>
      </c>
      <c r="H30" s="105">
        <f>C30/E30</f>
        <v>5.554907828350217</v>
      </c>
      <c r="I30" s="105">
        <f>C30/D30</f>
        <v>7.68441546786783</v>
      </c>
      <c r="L30" s="115" t="inlineStr">
        <is>
          <t>DPS ÷ 同行股息率（高股息率对应低估值）</t>
        </is>
      </c>
    </row>
    <row r="32">
      <c r="A32" s="20" t="inlineStr">
        <is>
          <t>注：①A 股公用事业通常以 PE/PB/股息率定价，同行 EV/EBITDA 公开数据缺失，未采用；②同行 PE 口径混合（动态/静态/预测），已在 L 列标注；③数据通过检索摘要获取，未能逐一访问原始页面核对。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55A11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2" customWidth="1" min="4" max="4"/>
    <col width="10" customWidth="1" min="5" max="5"/>
    <col width="10" customWidth="1" min="6" max="6"/>
    <col width="70" customWidth="1" min="7" max="7"/>
  </cols>
  <sheetData>
    <row r="1">
      <c r="A1" s="6" t="inlineStr">
        <is>
          <t>可比交易 Precedent transactions（中国核电/清洁能源资产，2024–2026）</t>
        </is>
      </c>
    </row>
    <row r="2">
      <c r="A2" s="7" t="inlineStr">
        <is>
          <t>单位：亿元人民币（另有注明除外）｜蓝色=输入　黑色=公式　绿色=跨表链接</t>
        </is>
      </c>
    </row>
    <row r="4">
      <c r="A4" s="90" t="inlineStr">
        <is>
          <t>时间</t>
        </is>
      </c>
      <c r="B4" s="90" t="inlineStr">
        <is>
          <t>标的</t>
        </is>
      </c>
      <c r="C4" s="90" t="inlineStr">
        <is>
          <t>买方/投资方</t>
        </is>
      </c>
      <c r="D4" s="90" t="inlineStr">
        <is>
          <t>对价(亿元)</t>
        </is>
      </c>
      <c r="E4" s="90" t="inlineStr">
        <is>
          <t>隐含 PB</t>
        </is>
      </c>
      <c r="F4" s="90" t="inlineStr">
        <is>
          <t>计入</t>
        </is>
      </c>
      <c r="G4" s="90" t="inlineStr">
        <is>
          <t>说明与来源</t>
        </is>
      </c>
    </row>
    <row r="5">
      <c r="A5" s="123" t="inlineStr">
        <is>
          <t>2025-03</t>
        </is>
      </c>
      <c r="B5" s="123" t="inlineStr">
        <is>
          <t>电投核能 100%</t>
        </is>
      </c>
      <c r="C5" s="123" t="inlineStr">
        <is>
          <t>电投产融（国家电投）</t>
        </is>
      </c>
      <c r="D5" s="124" t="n">
        <v>571.23</v>
      </c>
      <c r="E5" s="112" t="n">
        <v>1.47</v>
      </c>
      <c r="F5" s="114" t="n">
        <v>1</v>
      </c>
      <c r="G5" s="20" t="inlineStr">
        <is>
          <t>资产基础法定价，增值率 46.95%（隐含 PB≈1.47，推算）；评估基准日 2024-09-30；在运装机 921 万kW。界面新闻/新浪财经</t>
        </is>
      </c>
    </row>
    <row r="6">
      <c r="A6" s="123" t="inlineStr">
        <is>
          <t>2024-12</t>
        </is>
      </c>
      <c r="B6" s="123" t="inlineStr">
        <is>
          <t>中国核电定增 16.85 亿股</t>
        </is>
      </c>
      <c r="C6" s="123" t="inlineStr">
        <is>
          <t>社保基金会 120 亿 + 中核集团 20 亿</t>
        </is>
      </c>
      <c r="D6" s="124" t="n">
        <v>140</v>
      </c>
      <c r="E6" s="112" t="n">
        <v>1.56</v>
      </c>
      <c r="F6" s="114" t="n">
        <v>1</v>
      </c>
      <c r="G6" s="20" t="inlineStr">
        <is>
          <t>发行价 8.31 元 ÷ 2024 年末每股归母净资产（不含永续债）5.31 元≈1.56x（推算）。新浪财经</t>
        </is>
      </c>
    </row>
    <row r="7">
      <c r="A7" s="123" t="inlineStr">
        <is>
          <t>2024-11</t>
        </is>
      </c>
      <c r="B7" s="123" t="inlineStr">
        <is>
          <t>中核汇能增资 7.29%</t>
        </is>
      </c>
      <c r="C7" s="123" t="inlineStr">
        <is>
          <t>中核集团、国寿、川投、浙能等</t>
        </is>
      </c>
      <c r="D7" s="124" t="n">
        <v>78.95999999999999</v>
      </c>
      <c r="E7" s="112" t="n">
        <v>2.18</v>
      </c>
      <c r="F7" s="114" t="n">
        <v>1</v>
      </c>
      <c r="G7" s="20" t="inlineStr">
        <is>
          <t>投前估值 267.58 亿 ÷ 账面 122.86 亿≈2.18x；新能源平台。中国基金报/公告</t>
        </is>
      </c>
    </row>
    <row r="8">
      <c r="A8" s="123" t="inlineStr">
        <is>
          <t>2026-04</t>
        </is>
      </c>
      <c r="B8" s="123" t="inlineStr">
        <is>
          <t>苍南核电 46% + 苍南二核 51%</t>
        </is>
      </c>
      <c r="C8" s="123" t="inlineStr">
        <is>
          <t>中国广核</t>
        </is>
      </c>
      <c r="D8" s="124" t="n">
        <v>83.47</v>
      </c>
      <c r="F8" s="114" t="n">
        <v>0</v>
      </c>
      <c r="G8" s="20" t="inlineStr">
        <is>
          <t>隐含 PB 未披露，不计入。中国能源新闻网</t>
        </is>
      </c>
    </row>
    <row r="9">
      <c r="A9" s="123" t="inlineStr">
        <is>
          <t>2025-01</t>
        </is>
      </c>
      <c r="B9" s="123" t="inlineStr">
        <is>
          <t>台山第二核电 100%</t>
        </is>
      </c>
      <c r="C9" s="123" t="inlineStr">
        <is>
          <t>中国广核</t>
        </is>
      </c>
      <c r="D9" s="124" t="n">
        <v>12.04</v>
      </c>
      <c r="F9" s="114" t="n">
        <v>0</v>
      </c>
      <c r="G9" s="20" t="inlineStr">
        <is>
          <t>前期项目公司，不计入</t>
        </is>
      </c>
    </row>
    <row r="11">
      <c r="B11" s="21" t="inlineStr">
        <is>
          <t>隐含 PB 低</t>
        </is>
      </c>
      <c r="E11" s="117">
        <f>MIN($E$5:$E$7)</f>
        <v>1.47</v>
      </c>
    </row>
    <row r="12">
      <c r="B12" s="21" t="inlineStr">
        <is>
          <t>隐含 PB 中位数</t>
        </is>
      </c>
      <c r="E12" s="117">
        <f>MEDIAN($E$5:$E$7)</f>
        <v>1.56</v>
      </c>
    </row>
    <row r="13">
      <c r="B13" s="21" t="inlineStr">
        <is>
          <t>隐含 PB 高</t>
        </is>
      </c>
      <c r="E13" s="117">
        <f>MAX($E$5:$E$7)</f>
        <v>2.18</v>
      </c>
    </row>
    <row r="14">
      <c r="B14" s="21" t="inlineStr">
        <is>
          <t>2026E 每股归母净资产</t>
        </is>
      </c>
      <c r="E14" s="105">
        <f>('Balance Sheet'!$G$57-'Balance Sheet'!$G$52)/'Income Statement'!$G$74</f>
        <v>5.91044050835785</v>
      </c>
    </row>
    <row r="15">
      <c r="B15" s="21" t="inlineStr">
        <is>
          <t>隐含股价 低</t>
        </is>
      </c>
      <c r="E15" s="105">
        <f>E11*E14</f>
        <v>8.68834754728604</v>
      </c>
    </row>
    <row r="16">
      <c r="B16" s="21" t="inlineStr">
        <is>
          <t>隐含股价 中</t>
        </is>
      </c>
      <c r="E16" s="105">
        <f>E12*E14</f>
        <v>9.220287193038248</v>
      </c>
    </row>
    <row r="17">
      <c r="B17" s="21" t="inlineStr">
        <is>
          <t>隐含股价 高</t>
        </is>
      </c>
      <c r="E17" s="105">
        <f>E13*E14</f>
        <v>12.884760308220114</v>
      </c>
    </row>
    <row r="19">
      <c r="A19" s="20" t="inlineStr">
        <is>
          <t>注：中国核电为中核集团控股，控制权交易可能性极低；可比交易反映核电资产的一级市场定价锚，权重 10%。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55A11"/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0" customWidth="1" min="9" max="9"/>
  </cols>
  <sheetData>
    <row r="1">
      <c r="A1" s="6" t="inlineStr">
        <is>
          <t>估值汇总与评级 Valuation summary &amp; recommendation</t>
        </is>
      </c>
    </row>
    <row r="2">
      <c r="A2" s="7" t="inlineStr">
        <is>
          <t>单位：亿元人民币（另有注明除外）｜蓝色=输入　黑色=公式　绿色=跨表链接</t>
        </is>
      </c>
    </row>
    <row r="4">
      <c r="A4" s="90" t="inlineStr">
        <is>
          <t>方法</t>
        </is>
      </c>
      <c r="B4" s="90" t="inlineStr">
        <is>
          <t>低</t>
        </is>
      </c>
      <c r="C4" s="90" t="inlineStr">
        <is>
          <t>基准</t>
        </is>
      </c>
      <c r="D4" s="90" t="inlineStr">
        <is>
          <t>高</t>
        </is>
      </c>
      <c r="E4" s="90" t="inlineStr">
        <is>
          <t>权重</t>
        </is>
      </c>
      <c r="F4" s="90" t="inlineStr">
        <is>
          <t>加权值</t>
        </is>
      </c>
      <c r="G4" s="90" t="inlineStr"/>
      <c r="H4" s="90" t="inlineStr"/>
      <c r="I4" s="90" t="inlineStr">
        <is>
          <t>依据</t>
        </is>
      </c>
    </row>
    <row r="5">
      <c r="A5" t="inlineStr">
        <is>
          <t>DCF（三阶段）</t>
        </is>
      </c>
      <c r="B5" s="105">
        <f>MIN(Sensitivity!C8:E10)</f>
        <v>4.409221506596479</v>
      </c>
      <c r="C5" s="102">
        <f>'DCF'!$C$75</f>
        <v>7.4882046929698864</v>
      </c>
      <c r="D5" s="105">
        <f>MAX(Sensitivity!C8:E10)</f>
        <v>12.635951427737156</v>
      </c>
      <c r="E5" s="88" t="n">
        <v>0.4</v>
      </c>
      <c r="F5" s="105">
        <f>C5*E5</f>
        <v>2.9952818771879546</v>
      </c>
      <c r="I5" s="20" t="inlineStr">
        <is>
          <t>低/高=WACC±0.5%、g 0.5–1.5% 区间</t>
        </is>
      </c>
    </row>
    <row r="6">
      <c r="A6" t="inlineStr">
        <is>
          <t>PE 可比（2027E）</t>
        </is>
      </c>
      <c r="B6" s="102">
        <f>'Comps'!G28</f>
        <v>6.252265616217216</v>
      </c>
      <c r="C6" s="102">
        <f>'Comps'!H28</f>
        <v>8.156863276021822</v>
      </c>
      <c r="D6" s="102">
        <f>'Comps'!I28</f>
        <v>10.16117809079002</v>
      </c>
      <c r="E6" s="88" t="n">
        <v>0.25</v>
      </c>
      <c r="F6" s="105">
        <f>C6*E6</f>
        <v>2.0392158190054555</v>
      </c>
      <c r="I6" s="20" t="inlineStr">
        <is>
          <t>同行 PE 25/50/75 分位 × 2027E EPS</t>
        </is>
      </c>
    </row>
    <row r="7">
      <c r="A7" t="inlineStr">
        <is>
          <t>PB 可比（2026E）</t>
        </is>
      </c>
      <c r="B7" s="102">
        <f>'Comps'!G29</f>
        <v>9.116854484141983</v>
      </c>
      <c r="C7" s="102">
        <f>'Comps'!H29</f>
        <v>9.604465826081507</v>
      </c>
      <c r="D7" s="102">
        <f>'Comps'!I29</f>
        <v>10.683121218856815</v>
      </c>
      <c r="E7" s="88" t="n">
        <v>0.15</v>
      </c>
      <c r="F7" s="105">
        <f>C7*E7</f>
        <v>1.440669873912226</v>
      </c>
      <c r="I7" s="20" t="inlineStr">
        <is>
          <t>同行 PB 25/50/75 分位 × 2026E BVPS</t>
        </is>
      </c>
    </row>
    <row r="8">
      <c r="A8" t="inlineStr">
        <is>
          <t>股息率（2026E）</t>
        </is>
      </c>
      <c r="B8" s="102">
        <f>'Comps'!G30</f>
        <v>4.421253169503234</v>
      </c>
      <c r="C8" s="102">
        <f>'Comps'!H30</f>
        <v>5.554907828350217</v>
      </c>
      <c r="D8" s="102">
        <f>'Comps'!I30</f>
        <v>7.68441546786783</v>
      </c>
      <c r="E8" s="88" t="n">
        <v>0.1</v>
      </c>
      <c r="F8" s="105">
        <f>C8*E8</f>
        <v>0.5554907828350217</v>
      </c>
      <c r="I8" s="20" t="inlineStr">
        <is>
          <t>2026E DPS ÷ 同行股息率</t>
        </is>
      </c>
    </row>
    <row r="9">
      <c r="A9" t="inlineStr">
        <is>
          <t>可比交易 PB</t>
        </is>
      </c>
      <c r="B9" s="102">
        <f>'Precedents'!$E$15</f>
        <v>8.68834754728604</v>
      </c>
      <c r="C9" s="102">
        <f>'Precedents'!$E$16</f>
        <v>9.220287193038248</v>
      </c>
      <c r="D9" s="102">
        <f>'Precedents'!$E$17</f>
        <v>12.884760308220114</v>
      </c>
      <c r="E9" s="88" t="n">
        <v>0.1</v>
      </c>
      <c r="F9" s="105">
        <f>C9*E9</f>
        <v>0.9220287193038248</v>
      </c>
      <c r="I9" s="20" t="inlineStr">
        <is>
          <t>核电资产一级市场 PB 1.47–2.18x</t>
        </is>
      </c>
    </row>
    <row r="10">
      <c r="A10" s="21" t="inlineStr">
        <is>
          <t>加权目标价 Weighted value</t>
        </is>
      </c>
      <c r="E10" s="125">
        <f>SUM(E5:E9)</f>
        <v>1.0</v>
      </c>
      <c r="F10" s="101">
        <f>SUM(F5:F9)</f>
        <v>7.9526870722444825</v>
      </c>
    </row>
    <row r="12">
      <c r="A12" s="21" t="inlineStr">
        <is>
          <t>目标价（12 个月，取整至 0.1 元）</t>
        </is>
      </c>
      <c r="C12" s="101">
        <f>ROUND(F10,1)</f>
        <v>8.0</v>
      </c>
    </row>
    <row r="13">
      <c r="A13" s="22" t="inlineStr">
        <is>
          <t>当前股价（2026-09-24）</t>
        </is>
      </c>
      <c r="C13" s="102">
        <f>'DCF'!$C$76</f>
        <v>8.9</v>
      </c>
    </row>
    <row r="14">
      <c r="A14" s="22" t="inlineStr">
        <is>
          <t>隐含涨跌幅</t>
        </is>
      </c>
      <c r="C14" s="87">
        <f>C12/C13-1</f>
        <v>-0.101123595505618</v>
      </c>
    </row>
    <row r="15">
      <c r="A15" s="22" t="inlineStr">
        <is>
          <t>加：预期股息率（2026E）</t>
        </is>
      </c>
      <c r="C15" s="120">
        <f>'DCF Inputs'!$G$34</f>
        <v>0.015822125106593032</v>
      </c>
    </row>
    <row r="16">
      <c r="A16" s="22" t="inlineStr">
        <is>
          <t>预期总回报</t>
        </is>
      </c>
      <c r="C16" s="87">
        <f>C14+C15</f>
        <v>-0.08530147039902497</v>
      </c>
    </row>
    <row r="17">
      <c r="A17" s="21" t="inlineStr">
        <is>
          <t>评级（预期总回报 &gt;15% 买入｜5–15% 增持｜−5%~5% 中性｜&lt;−5% 减持）</t>
        </is>
      </c>
      <c r="C17" s="126" t="str">
        <f>IF(C16&gt;0.15,"买入 BUY",IF(C16&gt;0.05,"增持 OUTPERFORM",IF(C16&gt;=-0.05,"中性 HOLD","减持 SELL")))</f>
        <v>减持 SELL</v>
      </c>
    </row>
    <row r="18">
      <c r="A18" s="22" t="inlineStr">
        <is>
          <t>目标价对应 2026E / 2027E PE</t>
        </is>
      </c>
      <c r="C18" s="116">
        <f>C12/'Income Statement'!$G$75</f>
        <v>22.724542965971693</v>
      </c>
      <c r="D18" s="116">
        <f>C12/'Income Statement'!$H$75</f>
        <v>20.056729463754017</v>
      </c>
    </row>
    <row r="20">
      <c r="A20" s="68" t="inlineStr">
        <is>
          <t>情景估值 Scenario valuation（DCF 目标价，全模型重算静态快照）</t>
        </is>
      </c>
    </row>
    <row r="21">
      <c r="A21" s="90" t="inlineStr">
        <is>
          <t>情景</t>
        </is>
      </c>
      <c r="B21" s="90" t="inlineStr">
        <is>
          <t>概率</t>
        </is>
      </c>
      <c r="C21" s="90" t="inlineStr">
        <is>
          <t>2026E 归母</t>
        </is>
      </c>
      <c r="D21" s="90" t="inlineStr">
        <is>
          <t>2030E 归母</t>
        </is>
      </c>
      <c r="E21" s="90" t="inlineStr">
        <is>
          <t>2027E EPS</t>
        </is>
      </c>
      <c r="F21" s="90" t="inlineStr">
        <is>
          <t>DCF 目标价</t>
        </is>
      </c>
      <c r="G21" s="90" t="inlineStr">
        <is>
          <t>PE 可比（中位）</t>
        </is>
      </c>
      <c r="H21" s="90" t="inlineStr"/>
      <c r="I21" s="90" t="inlineStr">
        <is>
          <t>情景说明</t>
        </is>
      </c>
    </row>
    <row r="22">
      <c r="A22" t="inlineStr">
        <is>
          <t>Bull 牛市</t>
        </is>
      </c>
      <c r="B22" s="88" t="n">
        <v>0.25</v>
      </c>
      <c r="C22" s="124" t="n">
        <v>85.12904114110111</v>
      </c>
      <c r="D22" s="124" t="n">
        <v>131.7136688127541</v>
      </c>
      <c r="E22" s="127" t="n">
        <v>0.4956845111193163</v>
      </c>
      <c r="F22" s="108" t="n">
        <v>13.79803475612386</v>
      </c>
      <c r="G22" s="105">
        <f>E22*'Comps'!$E$28</f>
        <v>10.136748252390012</v>
      </c>
      <c r="I22" s="20" t="inlineStr">
        <is>
          <t>机制电价全国推广、电价回升至 0.39 元、利用小时 8,050</t>
        </is>
      </c>
    </row>
    <row r="23">
      <c r="A23" t="inlineStr">
        <is>
          <t>Base 基准</t>
        </is>
      </c>
      <c r="B23" s="88" t="n">
        <v>0.5</v>
      </c>
      <c r="C23" s="124" t="n">
        <v>72.48055406215451</v>
      </c>
      <c r="D23" s="124" t="n">
        <v>97.59046450360243</v>
      </c>
      <c r="E23" s="127" t="n">
        <v>0.3988686198543678</v>
      </c>
      <c r="F23" s="108" t="n">
        <v>7.488204692969886</v>
      </c>
      <c r="G23" s="105">
        <f>E23*'Comps'!$E$28</f>
        <v>8.156863276021825</v>
      </c>
      <c r="I23" s="20" t="inlineStr">
        <is>
          <t>电价 0.375 元企稳、利用小时 7,950、按计划投产</t>
        </is>
      </c>
    </row>
    <row r="24">
      <c r="A24" t="inlineStr">
        <is>
          <t>Bear 熊市</t>
        </is>
      </c>
      <c r="B24" s="88" t="n">
        <v>0.25</v>
      </c>
      <c r="C24" s="124" t="n">
        <v>59.5521859009868</v>
      </c>
      <c r="D24" s="124" t="n">
        <v>45.63353460225306</v>
      </c>
      <c r="E24" s="127" t="n">
        <v>0.2814568193301017</v>
      </c>
      <c r="F24" s="108" t="n">
        <v>-2.836669061152188</v>
      </c>
      <c r="G24" s="105">
        <f>E24*'Comps'!$E$28</f>
        <v>5.7557919553005865</v>
      </c>
      <c r="I24" s="20" t="inlineStr">
        <is>
          <t>电价降至 0.35 元、新机组推迟 1 年、资本开支超支 5%</t>
        </is>
      </c>
    </row>
    <row r="25">
      <c r="A25" s="21" t="inlineStr">
        <is>
          <t>概率加权</t>
        </is>
      </c>
      <c r="F25" s="101">
        <f>SUMPRODUCT($B22:$B24,F22:F24)</f>
        <v>6.484443770227861</v>
      </c>
      <c r="G25" s="101">
        <f>SUMPRODUCT($B22:$B24,G22:G24)</f>
        <v>8.051566689933562</v>
      </c>
    </row>
    <row r="27">
      <c r="A27" s="68" t="inlineStr">
        <is>
          <t>估值区间图数据 Football field</t>
        </is>
      </c>
    </row>
    <row r="28">
      <c r="A28" s="90" t="inlineStr">
        <is>
          <t>方法</t>
        </is>
      </c>
      <c r="B28" s="90" t="inlineStr">
        <is>
          <t>低</t>
        </is>
      </c>
      <c r="C28" s="90" t="inlineStr">
        <is>
          <t>高</t>
        </is>
      </c>
      <c r="D28" s="90" t="inlineStr">
        <is>
          <t>区间宽度</t>
        </is>
      </c>
      <c r="E28" s="90" t="inlineStr"/>
      <c r="F28" s="90" t="inlineStr"/>
      <c r="G28" s="90" t="inlineStr"/>
      <c r="H28" s="90" t="inlineStr"/>
      <c r="I28" s="90" t="inlineStr">
        <is>
          <t>备注</t>
        </is>
      </c>
    </row>
    <row r="29">
      <c r="A29" s="123" t="str">
        <f>A5</f>
        <v>DCF（三阶段）</v>
      </c>
      <c r="B29" s="105">
        <f>B5</f>
        <v>4.409221506596479</v>
      </c>
      <c r="C29" s="105">
        <f>D5</f>
        <v>12.635951427737156</v>
      </c>
      <c r="D29" s="105">
        <f>C29-B29</f>
        <v>8.226729921140677</v>
      </c>
    </row>
    <row r="30">
      <c r="A30" s="123" t="str">
        <f>A6</f>
        <v>PE 可比（2027E）</v>
      </c>
      <c r="B30" s="105">
        <f>B6</f>
        <v>6.252265616217216</v>
      </c>
      <c r="C30" s="105">
        <f>D6</f>
        <v>10.16117809079002</v>
      </c>
      <c r="D30" s="105">
        <f>C30-B30</f>
        <v>3.908912474572804</v>
      </c>
    </row>
    <row r="31">
      <c r="A31" s="123" t="str">
        <f>A7</f>
        <v>PB 可比（2026E）</v>
      </c>
      <c r="B31" s="105">
        <f>B7</f>
        <v>9.116854484141983</v>
      </c>
      <c r="C31" s="105">
        <f>D7</f>
        <v>10.683121218856815</v>
      </c>
      <c r="D31" s="105">
        <f>C31-B31</f>
        <v>1.5662667347148318</v>
      </c>
    </row>
    <row r="32">
      <c r="A32" s="123" t="str">
        <f>A8</f>
        <v>股息率（2026E）</v>
      </c>
      <c r="B32" s="105">
        <f>B8</f>
        <v>4.421253169503234</v>
      </c>
      <c r="C32" s="105">
        <f>D8</f>
        <v>7.68441546786783</v>
      </c>
      <c r="D32" s="105">
        <f>C32-B32</f>
        <v>3.2631622983645965</v>
      </c>
    </row>
    <row r="33">
      <c r="A33" s="123" t="str">
        <f>A9</f>
        <v>可比交易 PB</v>
      </c>
      <c r="B33" s="105">
        <f>B9</f>
        <v>8.68834754728604</v>
      </c>
      <c r="C33" s="105">
        <f>D9</f>
        <v>12.884760308220114</v>
      </c>
      <c r="D33" s="105">
        <f>C33-B33</f>
        <v>4.196412760934074</v>
      </c>
    </row>
    <row r="34">
      <c r="A34" s="123" t="inlineStr">
        <is>
          <t>52 周股价区间</t>
        </is>
      </c>
      <c r="B34" s="123" t="n"/>
      <c r="I34" s="20" t="inlineStr">
        <is>
          <t>未能获取可靠的 52 周区间数据（检索摘要缺失），留空</t>
        </is>
      </c>
    </row>
    <row r="35">
      <c r="A35" t="inlineStr">
        <is>
          <t>当前股价 / 目标价</t>
        </is>
      </c>
      <c r="B35" s="102">
        <f>'DCF'!$C$76</f>
        <v>8.9</v>
      </c>
      <c r="C35" s="105">
        <f>C12</f>
        <v>8.0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3864"/>
    <outlinePr summaryBelow="1" summaryRight="1"/>
    <pageSetUpPr/>
  </sheetPr>
  <dimension ref="A1:L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60" customWidth="1" min="12" max="12"/>
  </cols>
  <sheetData>
    <row r="1">
      <c r="A1" s="6" t="inlineStr">
        <is>
          <t>模型校验 Checks（全部应为 TRUE）</t>
        </is>
      </c>
    </row>
    <row r="2">
      <c r="A2" s="7" t="inlineStr">
        <is>
          <t>单位：亿元人民币（另有注明除外）｜蓝色=硬编码输入　黑色=公式　绿色=跨表链接｜A=实际 E=预测</t>
        </is>
      </c>
    </row>
    <row r="3">
      <c r="A3" s="8" t="inlineStr">
        <is>
          <t>项目 / Line item</t>
        </is>
      </c>
      <c r="B3" s="9" t="inlineStr">
        <is>
          <t>单位</t>
        </is>
      </c>
      <c r="C3" s="10" t="n">
        <v>2022</v>
      </c>
      <c r="D3" s="10" t="n">
        <v>2023</v>
      </c>
      <c r="E3" s="10" t="n">
        <v>2024</v>
      </c>
      <c r="F3" s="10" t="n">
        <v>2025</v>
      </c>
      <c r="G3" s="11" t="n">
        <v>2026</v>
      </c>
      <c r="H3" s="11" t="n">
        <v>2027</v>
      </c>
      <c r="I3" s="11" t="n">
        <v>2028</v>
      </c>
      <c r="J3" s="11" t="n">
        <v>2029</v>
      </c>
      <c r="K3" s="11" t="n">
        <v>2030</v>
      </c>
      <c r="L3" s="9" t="inlineStr">
        <is>
          <t>来源 / 说明</t>
        </is>
      </c>
    </row>
    <row r="5">
      <c r="A5" s="22" t="inlineStr">
        <is>
          <t>资产负债表平衡（|资产−负债−权益|&lt;0.01）</t>
        </is>
      </c>
      <c r="B5" s="20" t="inlineStr">
        <is>
          <t>TRUE/FALSE</t>
        </is>
      </c>
      <c r="C5" s="128" t="b">
        <f>ABS('Balance Sheet'!C61)&lt;0.01</f>
        <v>1</v>
      </c>
      <c r="D5" s="128" t="b">
        <f>ABS('Balance Sheet'!D61)&lt;0.01</f>
        <v>1</v>
      </c>
      <c r="E5" s="128" t="b">
        <f>ABS('Balance Sheet'!E61)&lt;0.01</f>
        <v>1</v>
      </c>
      <c r="F5" s="128" t="b">
        <f>ABS('Balance Sheet'!F61)&lt;0.01</f>
        <v>1</v>
      </c>
      <c r="G5" s="129" t="b">
        <f>ABS('Balance Sheet'!G61)&lt;0.01</f>
        <v>1</v>
      </c>
      <c r="H5" s="129" t="b">
        <f>ABS('Balance Sheet'!H61)&lt;0.01</f>
        <v>1</v>
      </c>
      <c r="I5" s="129" t="b">
        <f>ABS('Balance Sheet'!I61)&lt;0.01</f>
        <v>1</v>
      </c>
      <c r="J5" s="129" t="b">
        <f>ABS('Balance Sheet'!J61)&lt;0.01</f>
        <v>1</v>
      </c>
      <c r="K5" s="129" t="b">
        <f>ABS('Balance Sheet'!K61)&lt;0.01</f>
        <v>1</v>
      </c>
    </row>
    <row r="6">
      <c r="A6" s="22" t="inlineStr">
        <is>
          <t>历史期：模型资产总计 = 报告资产总计</t>
        </is>
      </c>
      <c r="B6" s="20" t="inlineStr">
        <is>
          <t>TRUE/FALSE</t>
        </is>
      </c>
      <c r="C6" s="128" t="b">
        <f>ABS('Balance Sheet'!C27-'Balance Sheet'!C66)&lt;0.01</f>
        <v>1</v>
      </c>
      <c r="D6" s="128" t="b">
        <f>ABS('Balance Sheet'!D27-'Balance Sheet'!D66)&lt;0.01</f>
        <v>1</v>
      </c>
      <c r="E6" s="128" t="b">
        <f>ABS('Balance Sheet'!E27-'Balance Sheet'!E66)&lt;0.01</f>
        <v>1</v>
      </c>
      <c r="F6" s="128" t="b">
        <f>ABS('Balance Sheet'!F27-'Balance Sheet'!F66)&lt;0.01</f>
        <v>1</v>
      </c>
    </row>
    <row r="7">
      <c r="A7" s="22" t="inlineStr">
        <is>
          <t>历史期：模型权益合计 = 报告权益合计</t>
        </is>
      </c>
      <c r="B7" s="20" t="inlineStr">
        <is>
          <t>TRUE/FALSE</t>
        </is>
      </c>
      <c r="C7" s="128" t="b">
        <f>ABS('Balance Sheet'!C59-'Balance Sheet'!C70)&lt;0.01</f>
        <v>1</v>
      </c>
      <c r="D7" s="128" t="b">
        <f>ABS('Balance Sheet'!D59-'Balance Sheet'!D70)&lt;0.01</f>
        <v>1</v>
      </c>
      <c r="E7" s="128" t="b">
        <f>ABS('Balance Sheet'!E59-'Balance Sheet'!E70)&lt;0.01</f>
        <v>1</v>
      </c>
      <c r="F7" s="128" t="b">
        <f>ABS('Balance Sheet'!F59-'Balance Sheet'!F70)&lt;0.01</f>
        <v>1</v>
      </c>
    </row>
    <row r="8">
      <c r="A8" s="22" t="inlineStr">
        <is>
          <t>现金流量表期末现金 = 资产负债表货币资金（预测期）</t>
        </is>
      </c>
      <c r="B8" s="20" t="inlineStr">
        <is>
          <t>TRUE/FALSE</t>
        </is>
      </c>
      <c r="G8" s="129" t="b">
        <f>ABS('Cash Flow'!G50-'Balance Sheet'!G7)&lt;0.01</f>
        <v>1</v>
      </c>
      <c r="H8" s="129" t="b">
        <f>ABS('Cash Flow'!H50-'Balance Sheet'!H7)&lt;0.01</f>
        <v>1</v>
      </c>
      <c r="I8" s="129" t="b">
        <f>ABS('Cash Flow'!I50-'Balance Sheet'!I7)&lt;0.01</f>
        <v>1</v>
      </c>
      <c r="J8" s="129" t="b">
        <f>ABS('Cash Flow'!J50-'Balance Sheet'!J7)&lt;0.01</f>
        <v>1</v>
      </c>
      <c r="K8" s="129" t="b">
        <f>ABS('Cash Flow'!K50-'Balance Sheet'!K7)&lt;0.01</f>
        <v>1</v>
      </c>
    </row>
    <row r="9">
      <c r="A9" s="22" t="inlineStr">
        <is>
          <t>现金流：期初+净增加=期末</t>
        </is>
      </c>
      <c r="B9" s="20" t="inlineStr">
        <is>
          <t>TRUE/FALSE</t>
        </is>
      </c>
      <c r="C9" s="128" t="b">
        <f>ABS('Cash Flow'!C49+'Cash Flow'!C48-'Cash Flow'!C50)&lt;0.01</f>
        <v>1</v>
      </c>
      <c r="D9" s="128" t="b">
        <f>ABS('Cash Flow'!D49+'Cash Flow'!D48-'Cash Flow'!D50)&lt;0.01</f>
        <v>1</v>
      </c>
      <c r="E9" s="128" t="b">
        <f>ABS('Cash Flow'!E49+'Cash Flow'!E48-'Cash Flow'!E50)&lt;0.01</f>
        <v>1</v>
      </c>
      <c r="F9" s="128" t="b">
        <f>ABS('Cash Flow'!F49+'Cash Flow'!F48-'Cash Flow'!F50)&lt;0.01</f>
        <v>1</v>
      </c>
      <c r="G9" s="129" t="b">
        <f>ABS('Cash Flow'!G49+'Cash Flow'!G48-'Cash Flow'!G50)&lt;0.01</f>
        <v>1</v>
      </c>
      <c r="H9" s="129" t="b">
        <f>ABS('Cash Flow'!H49+'Cash Flow'!H48-'Cash Flow'!H50)&lt;0.01</f>
        <v>1</v>
      </c>
      <c r="I9" s="129" t="b">
        <f>ABS('Cash Flow'!I49+'Cash Flow'!I48-'Cash Flow'!I50)&lt;0.01</f>
        <v>1</v>
      </c>
      <c r="J9" s="129" t="b">
        <f>ABS('Cash Flow'!J49+'Cash Flow'!J48-'Cash Flow'!J50)&lt;0.01</f>
        <v>1</v>
      </c>
      <c r="K9" s="129" t="b">
        <f>ABS('Cash Flow'!K49+'Cash Flow'!K48-'Cash Flow'!K50)&lt;0.01</f>
        <v>1</v>
      </c>
    </row>
    <row r="10">
      <c r="A10" s="22" t="inlineStr">
        <is>
          <t>净利润 = 归母 + 少数股东</t>
        </is>
      </c>
      <c r="B10" s="20" t="inlineStr">
        <is>
          <t>TRUE/FALSE</t>
        </is>
      </c>
      <c r="C10" s="128" t="b">
        <f>ABS('Income Statement'!C65-'Income Statement'!C68-'Income Statement'!C67)&lt;0.01</f>
        <v>1</v>
      </c>
      <c r="D10" s="128" t="b">
        <f>ABS('Income Statement'!D65-'Income Statement'!D68-'Income Statement'!D67)&lt;0.01</f>
        <v>1</v>
      </c>
      <c r="E10" s="128" t="b">
        <f>ABS('Income Statement'!E65-'Income Statement'!E68-'Income Statement'!E67)&lt;0.01</f>
        <v>1</v>
      </c>
      <c r="F10" s="128" t="b">
        <f>ABS('Income Statement'!F65-'Income Statement'!F68-'Income Statement'!F67)&lt;0.01</f>
        <v>1</v>
      </c>
      <c r="G10" s="129" t="b">
        <f>ABS('Income Statement'!G65-'Income Statement'!G68-'Income Statement'!G67)&lt;0.01</f>
        <v>1</v>
      </c>
      <c r="H10" s="129" t="b">
        <f>ABS('Income Statement'!H65-'Income Statement'!H68-'Income Statement'!H67)&lt;0.01</f>
        <v>1</v>
      </c>
      <c r="I10" s="129" t="b">
        <f>ABS('Income Statement'!I65-'Income Statement'!I68-'Income Statement'!I67)&lt;0.01</f>
        <v>1</v>
      </c>
      <c r="J10" s="129" t="b">
        <f>ABS('Income Statement'!J65-'Income Statement'!J68-'Income Statement'!J67)&lt;0.01</f>
        <v>1</v>
      </c>
      <c r="K10" s="129" t="b">
        <f>ABS('Income Statement'!K65-'Income Statement'!K68-'Income Statement'!K67)&lt;0.01</f>
        <v>1</v>
      </c>
    </row>
    <row r="11">
      <c r="A11" s="22" t="inlineStr">
        <is>
          <t>现金流量表净利润 = 利润表净利润</t>
        </is>
      </c>
      <c r="B11" s="20" t="inlineStr">
        <is>
          <t>TRUE/FALSE</t>
        </is>
      </c>
      <c r="C11" s="128" t="b">
        <f>ABS('Cash Flow'!C7-'Income Statement'!C65)&lt;0.01</f>
        <v>1</v>
      </c>
      <c r="D11" s="128" t="b">
        <f>ABS('Cash Flow'!D7-'Income Statement'!D65)&lt;0.01</f>
        <v>1</v>
      </c>
      <c r="E11" s="128" t="b">
        <f>ABS('Cash Flow'!E7-'Income Statement'!E65)&lt;0.01</f>
        <v>1</v>
      </c>
      <c r="F11" s="128" t="b">
        <f>ABS('Cash Flow'!F7-'Income Statement'!F65)&lt;0.01</f>
        <v>1</v>
      </c>
      <c r="G11" s="129" t="b">
        <f>ABS('Cash Flow'!G7-'Income Statement'!G65)&lt;0.01</f>
        <v>1</v>
      </c>
      <c r="H11" s="129" t="b">
        <f>ABS('Cash Flow'!H7-'Income Statement'!H65)&lt;0.01</f>
        <v>1</v>
      </c>
      <c r="I11" s="129" t="b">
        <f>ABS('Cash Flow'!I7-'Income Statement'!I65)&lt;0.01</f>
        <v>1</v>
      </c>
      <c r="J11" s="129" t="b">
        <f>ABS('Cash Flow'!J7-'Income Statement'!J65)&lt;0.01</f>
        <v>1</v>
      </c>
      <c r="K11" s="129" t="b">
        <f>ABS('Cash Flow'!K7-'Income Statement'!K65)&lt;0.01</f>
        <v>1</v>
      </c>
    </row>
    <row r="12">
      <c r="A12" s="22" t="inlineStr">
        <is>
          <t>收入模型合计 = 利润表收入</t>
        </is>
      </c>
      <c r="B12" s="20" t="inlineStr">
        <is>
          <t>TRUE/FALSE</t>
        </is>
      </c>
      <c r="C12" s="128" t="b">
        <f>ABS('Revenue Model'!C100-'Income Statement'!C7)&lt;0.01</f>
        <v>1</v>
      </c>
      <c r="D12" s="128" t="b">
        <f>ABS('Revenue Model'!D100-'Income Statement'!D7)&lt;0.01</f>
        <v>1</v>
      </c>
      <c r="E12" s="128" t="b">
        <f>ABS('Revenue Model'!E100-'Income Statement'!E7)&lt;0.01</f>
        <v>1</v>
      </c>
      <c r="F12" s="128" t="b">
        <f>ABS('Revenue Model'!F100-'Income Statement'!F7)&lt;0.01</f>
        <v>1</v>
      </c>
      <c r="G12" s="129" t="b">
        <f>ABS('Revenue Model'!G100-'Income Statement'!G7)&lt;0.01</f>
        <v>1</v>
      </c>
      <c r="H12" s="129" t="b">
        <f>ABS('Revenue Model'!H100-'Income Statement'!H7)&lt;0.01</f>
        <v>1</v>
      </c>
      <c r="I12" s="129" t="b">
        <f>ABS('Revenue Model'!I100-'Income Statement'!I7)&lt;0.01</f>
        <v>1</v>
      </c>
      <c r="J12" s="129" t="b">
        <f>ABS('Revenue Model'!J100-'Income Statement'!J7)&lt;0.01</f>
        <v>1</v>
      </c>
      <c r="K12" s="129" t="b">
        <f>ABS('Revenue Model'!K100-'Income Statement'!K7)&lt;0.01</f>
        <v>1</v>
      </c>
    </row>
    <row r="13">
      <c r="A13" s="22" t="inlineStr">
        <is>
          <t>分地区合计 = 营业收入</t>
        </is>
      </c>
      <c r="B13" s="20" t="inlineStr">
        <is>
          <t>TRUE/FALSE</t>
        </is>
      </c>
      <c r="C13" s="128" t="b">
        <f>ABS('Revenue Model'!C124-'Income Statement'!C7)&lt;0.5</f>
        <v>1</v>
      </c>
      <c r="D13" s="128" t="b">
        <f>ABS('Revenue Model'!D124-'Income Statement'!D7)&lt;0.5</f>
        <v>1</v>
      </c>
      <c r="E13" s="128" t="b">
        <f>ABS('Revenue Model'!E124-'Income Statement'!E7)&lt;0.5</f>
        <v>1</v>
      </c>
      <c r="F13" s="128" t="b">
        <f>ABS('Revenue Model'!F124-'Income Statement'!F7)&lt;0.5</f>
        <v>1</v>
      </c>
      <c r="G13" s="129" t="b">
        <f>ABS('Revenue Model'!G124-'Income Statement'!G7)&lt;0.01</f>
        <v>1</v>
      </c>
      <c r="H13" s="129" t="b">
        <f>ABS('Revenue Model'!H124-'Income Statement'!H7)&lt;0.01</f>
        <v>1</v>
      </c>
      <c r="I13" s="129" t="b">
        <f>ABS('Revenue Model'!I124-'Income Statement'!I7)&lt;0.01</f>
        <v>1</v>
      </c>
      <c r="J13" s="129" t="b">
        <f>ABS('Revenue Model'!J124-'Income Statement'!J7)&lt;0.01</f>
        <v>1</v>
      </c>
      <c r="K13" s="129" t="b">
        <f>ABS('Revenue Model'!K124-'Income Statement'!K7)&lt;0.01</f>
        <v>1</v>
      </c>
    </row>
    <row r="14">
      <c r="A14" s="22" t="inlineStr">
        <is>
          <t>成本分项合计 = 营业成本（2024A 起）</t>
        </is>
      </c>
      <c r="B14" s="20" t="inlineStr">
        <is>
          <t>TRUE/FALSE</t>
        </is>
      </c>
      <c r="E14" s="128" t="b">
        <f>ABS(SUM('Income Statement'!E24:E28)-'Income Statement'!E29)&lt;0.05</f>
        <v>1</v>
      </c>
      <c r="F14" s="128" t="b">
        <f>ABS(SUM('Income Statement'!F24:F28)-'Income Statement'!F29)&lt;0.05</f>
        <v>1</v>
      </c>
    </row>
    <row r="15">
      <c r="A15" s="22" t="inlineStr">
        <is>
          <t>新能源地区占比合计 = 100%</t>
        </is>
      </c>
      <c r="B15" s="20" t="inlineStr">
        <is>
          <t>TRUE/FALSE</t>
        </is>
      </c>
      <c r="G15" s="129" t="b">
        <f>ABS('Revenue Model'!G127-1)&lt;0.001</f>
        <v>1</v>
      </c>
      <c r="H15" s="129" t="b">
        <f>ABS('Revenue Model'!H127-1)&lt;0.001</f>
        <v>1</v>
      </c>
      <c r="I15" s="129" t="b">
        <f>ABS('Revenue Model'!I127-1)&lt;0.001</f>
        <v>1</v>
      </c>
      <c r="J15" s="129" t="b">
        <f>ABS('Revenue Model'!J127-1)&lt;0.001</f>
        <v>1</v>
      </c>
      <c r="K15" s="129" t="b">
        <f>ABS('Revenue Model'!K127-1)&lt;0.001</f>
        <v>1</v>
      </c>
    </row>
    <row r="16">
      <c r="A16" s="22" t="inlineStr">
        <is>
          <t>在建及核准待建容量 = 2,563.50 万千瓦</t>
        </is>
      </c>
      <c r="B16" s="20" t="inlineStr">
        <is>
          <t>TRUE/FALSE</t>
        </is>
      </c>
      <c r="G16" s="129" t="b">
        <f>ABS('Revenue Model'!$C$29-2563.5)&lt;0.01</f>
        <v>1</v>
      </c>
      <c r="H16" s="129" t="b">
        <f>ABS('Revenue Model'!$C$29-2563.5)&lt;0.01</f>
        <v>1</v>
      </c>
      <c r="I16" s="129" t="b">
        <f>ABS('Revenue Model'!$C$29-2563.5)&lt;0.01</f>
        <v>1</v>
      </c>
      <c r="J16" s="129" t="b">
        <f>ABS('Revenue Model'!$C$29-2563.5)&lt;0.01</f>
        <v>1</v>
      </c>
      <c r="K16" s="129" t="b">
        <f>ABS('Revenue Model'!$C$29-2563.5)&lt;0.01</f>
        <v>1</v>
      </c>
    </row>
    <row r="18">
      <c r="A18" s="21" t="inlineStr">
        <is>
          <t>全部校验通过 ALL CHECKS</t>
        </is>
      </c>
      <c r="C18" s="21" t="b">
        <f>IF(COUNTIF(C5:K16,FALSE)=0,TRUE,FALSE)</f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1" t="inlineStr">
        <is>
          <t>原始报表数据（元，按年报原文逐项抄录；由子代理提取并经配平校验）</t>
        </is>
      </c>
    </row>
    <row r="3">
      <c r="A3" s="37" t="inlineStr">
        <is>
          <t>合并利润表</t>
        </is>
      </c>
      <c r="B3" s="37" t="inlineStr">
        <is>
          <t>2022A</t>
        </is>
      </c>
      <c r="C3" s="37" t="inlineStr">
        <is>
          <t>2023A</t>
        </is>
      </c>
      <c r="D3" s="37" t="inlineStr">
        <is>
          <t>2024A</t>
        </is>
      </c>
      <c r="E3" s="37" t="inlineStr">
        <is>
          <t>2025A</t>
        </is>
      </c>
      <c r="F3" s="37" t="inlineStr">
        <is>
          <t>2026H1A</t>
        </is>
      </c>
      <c r="G3" s="37" t="inlineStr">
        <is>
          <t>2025H1A/2025-12-31</t>
        </is>
      </c>
    </row>
    <row r="4">
      <c r="A4" t="inlineStr">
        <is>
          <t>一、营业总收入</t>
        </is>
      </c>
      <c r="B4" s="130" t="n">
        <v>71285600843.64</v>
      </c>
      <c r="C4" s="130" t="n">
        <v>74957180264.96001</v>
      </c>
      <c r="D4" s="130" t="n">
        <v>77272058526.64</v>
      </c>
      <c r="E4" s="130" t="n">
        <v>82075495244.95</v>
      </c>
      <c r="F4" s="130" t="n">
        <v>38397892469.6</v>
      </c>
      <c r="G4" s="130" t="n">
        <v>40972997115.04</v>
      </c>
    </row>
    <row r="5">
      <c r="A5" t="inlineStr">
        <is>
          <t>其中：营业收入</t>
        </is>
      </c>
      <c r="B5" s="130" t="n">
        <v>71285600843.64</v>
      </c>
      <c r="C5" s="130" t="n">
        <v>74957180264.96001</v>
      </c>
      <c r="D5" s="130" t="n">
        <v>77272058526.64</v>
      </c>
      <c r="E5" s="130" t="n">
        <v>82075495244.95</v>
      </c>
      <c r="F5" s="130" t="n">
        <v>38397892469.6</v>
      </c>
      <c r="G5" s="130" t="n">
        <v>40972997115.04</v>
      </c>
    </row>
    <row r="6">
      <c r="A6" t="inlineStr">
        <is>
          <t>二、营业总成本</t>
        </is>
      </c>
      <c r="B6" s="130" t="n">
        <v>53867855261.11</v>
      </c>
      <c r="C6" s="130" t="n">
        <v>55170216904.63</v>
      </c>
      <c r="D6" s="130" t="n">
        <v>57500145062.51</v>
      </c>
      <c r="E6" s="130" t="n">
        <v>61890130859.29</v>
      </c>
      <c r="F6" s="130" t="n">
        <v>30473497603.34</v>
      </c>
      <c r="G6" s="130" t="n">
        <v>28819149077.23</v>
      </c>
    </row>
    <row r="7">
      <c r="A7" t="inlineStr">
        <is>
          <t>其中：营业成本</t>
        </is>
      </c>
      <c r="B7" s="130" t="n">
        <v>38756964886.8</v>
      </c>
      <c r="C7" s="130" t="n">
        <v>41509673010.7</v>
      </c>
      <c r="D7" s="130" t="n">
        <v>44115695715.99</v>
      </c>
      <c r="E7" s="130" t="n">
        <v>48161106764.31</v>
      </c>
      <c r="F7" s="130" t="n">
        <v>24392925651.25</v>
      </c>
      <c r="G7" s="130" t="n">
        <v>22415321749.2</v>
      </c>
    </row>
    <row r="8">
      <c r="A8" t="inlineStr">
        <is>
          <t>税金及附加</t>
        </is>
      </c>
      <c r="B8" s="130" t="n">
        <v>872198966.98</v>
      </c>
      <c r="C8" s="130" t="n">
        <v>1031666144.33</v>
      </c>
      <c r="D8" s="130" t="n">
        <v>1076741372.93</v>
      </c>
      <c r="E8" s="130" t="n">
        <v>1236621148.53</v>
      </c>
      <c r="F8" s="130" t="n">
        <v>637868912.91</v>
      </c>
      <c r="G8" s="130" t="n">
        <v>619355672.28</v>
      </c>
    </row>
    <row r="9">
      <c r="A9" t="inlineStr">
        <is>
          <t>销售费用</t>
        </is>
      </c>
      <c r="B9" s="130" t="n">
        <v>77723590.04000001</v>
      </c>
      <c r="C9" s="130" t="n">
        <v>115109346.02</v>
      </c>
      <c r="D9" s="130" t="n">
        <v>62491705.89</v>
      </c>
      <c r="E9" s="130" t="n">
        <v>99677501.56999999</v>
      </c>
      <c r="F9" s="130" t="n">
        <v>38652973</v>
      </c>
      <c r="G9" s="130" t="n">
        <v>40451051.4</v>
      </c>
    </row>
    <row r="10">
      <c r="A10" t="inlineStr">
        <is>
          <t>管理费用</t>
        </is>
      </c>
      <c r="B10" s="130" t="n">
        <v>4618541599.69</v>
      </c>
      <c r="C10" s="130" t="n">
        <v>3828235638.17</v>
      </c>
      <c r="D10" s="130" t="n">
        <v>4027041173.66</v>
      </c>
      <c r="E10" s="130" t="n">
        <v>4118634067.34</v>
      </c>
      <c r="F10" s="130" t="n">
        <v>1534723417.25</v>
      </c>
      <c r="G10" s="130" t="n">
        <v>1798693020.29</v>
      </c>
    </row>
    <row r="11">
      <c r="A11" t="inlineStr">
        <is>
          <t>研发费用</t>
        </is>
      </c>
      <c r="B11" s="130" t="n">
        <v>1397915200.22</v>
      </c>
      <c r="C11" s="130" t="n">
        <v>1383789014.73</v>
      </c>
      <c r="D11" s="130" t="n">
        <v>1374577821.56</v>
      </c>
      <c r="E11" s="130" t="n">
        <v>1439607763.06</v>
      </c>
      <c r="F11" s="130" t="n">
        <v>362026798.48</v>
      </c>
      <c r="G11" s="130" t="n">
        <v>440941387.64</v>
      </c>
    </row>
    <row r="12">
      <c r="A12" t="inlineStr">
        <is>
          <t>财务费用</t>
        </is>
      </c>
      <c r="B12" s="130" t="n">
        <v>8144511017.38</v>
      </c>
      <c r="C12" s="130" t="n">
        <v>7301743750.68</v>
      </c>
      <c r="D12" s="130" t="n">
        <v>6843597272.48</v>
      </c>
      <c r="E12" s="130" t="n">
        <v>6834483614.48</v>
      </c>
      <c r="F12" s="130" t="n">
        <v>3507299850.45</v>
      </c>
      <c r="G12" s="130" t="n">
        <v>3504386196.42</v>
      </c>
    </row>
    <row r="13">
      <c r="A13" t="inlineStr">
        <is>
          <t>其中：利息费用</t>
        </is>
      </c>
      <c r="B13" s="130" t="n">
        <v>7640989321.4</v>
      </c>
      <c r="C13" s="130" t="n">
        <v>6933725675.82</v>
      </c>
      <c r="D13" s="130" t="n">
        <v>6709944667.5</v>
      </c>
      <c r="E13" s="130" t="n">
        <v>6539822152.08</v>
      </c>
      <c r="F13" s="130" t="n">
        <v>3378657159.15</v>
      </c>
      <c r="G13" s="130" t="n">
        <v>3309504415.41</v>
      </c>
    </row>
    <row r="14">
      <c r="A14" t="inlineStr">
        <is>
          <t>利息收入</t>
        </is>
      </c>
      <c r="B14" s="130" t="n">
        <v>207838180.37</v>
      </c>
      <c r="C14" s="130" t="n">
        <v>182778314.18</v>
      </c>
      <c r="D14" s="130" t="n">
        <v>155545257.14</v>
      </c>
      <c r="E14" s="130" t="n">
        <v>144919797.35</v>
      </c>
      <c r="F14" s="130" t="n">
        <v>63288543.64</v>
      </c>
      <c r="G14" s="130" t="n">
        <v>85186043.59</v>
      </c>
    </row>
    <row r="15">
      <c r="A15" t="inlineStr">
        <is>
          <t>加：其他收益</t>
        </is>
      </c>
      <c r="B15" s="130" t="n">
        <v>2111383201.1</v>
      </c>
      <c r="C15" s="130" t="n">
        <v>2710708171.22</v>
      </c>
      <c r="D15" s="130" t="n">
        <v>2752622796.68</v>
      </c>
      <c r="E15" s="130" t="n">
        <v>3150385254.1</v>
      </c>
      <c r="F15" s="130" t="n">
        <v>1231532341.37</v>
      </c>
      <c r="G15" s="130" t="n">
        <v>1663985089.7</v>
      </c>
    </row>
    <row r="16">
      <c r="A16" t="inlineStr">
        <is>
          <t>投资收益（损失以“－”号填列）</t>
        </is>
      </c>
      <c r="B16" s="130" t="n">
        <v>275236398.66</v>
      </c>
      <c r="C16" s="130" t="n">
        <v>382070705.24</v>
      </c>
      <c r="D16" s="130" t="n">
        <v>410726143.2</v>
      </c>
      <c r="E16" s="130" t="n">
        <v>308643045.23</v>
      </c>
    </row>
    <row r="17">
      <c r="A17" t="inlineStr">
        <is>
          <t>其中：对联营企业和合营企业的投资收益</t>
        </is>
      </c>
      <c r="B17" s="130" t="n">
        <v>269046515.3</v>
      </c>
      <c r="C17" s="130" t="n">
        <v>376368236.81</v>
      </c>
      <c r="D17" s="130" t="n">
        <v>338828822.16</v>
      </c>
      <c r="E17" s="130" t="n">
        <v>277088567.41</v>
      </c>
      <c r="F17" s="130" t="n">
        <v>83846760.5</v>
      </c>
      <c r="G17" s="130" t="n">
        <v>97115700.84</v>
      </c>
    </row>
    <row r="18">
      <c r="A18" t="inlineStr">
        <is>
          <t>公允价值变动收益（损失以“－”号填列）</t>
        </is>
      </c>
      <c r="B18" s="130" t="n">
        <v>48245.47</v>
      </c>
      <c r="C18" s="130" t="n">
        <v>155869.98</v>
      </c>
    </row>
    <row r="19">
      <c r="A19" t="inlineStr">
        <is>
          <t>信用减值损失（损失以“-”号填列）</t>
        </is>
      </c>
      <c r="B19" s="130" t="n">
        <v>87265326.98</v>
      </c>
      <c r="C19" s="130" t="n">
        <v>-83733887.97</v>
      </c>
      <c r="D19" s="130" t="n">
        <v>-65902374.33</v>
      </c>
      <c r="E19" s="130" t="n">
        <v>-23533976.27</v>
      </c>
      <c r="F19" s="130" t="n">
        <v>-40178906.66</v>
      </c>
      <c r="G19" s="130" t="n">
        <v>-47086320.45</v>
      </c>
    </row>
    <row r="20">
      <c r="A20" t="inlineStr">
        <is>
          <t>资产减值损失（损失以“-”号填列）</t>
        </is>
      </c>
      <c r="B20" s="130" t="n">
        <v>-247543080.76</v>
      </c>
      <c r="C20" s="130" t="n">
        <v>-208218478.93</v>
      </c>
      <c r="D20" s="130" t="n">
        <v>-498570735.46</v>
      </c>
      <c r="E20" s="130" t="n">
        <v>-495856775.14</v>
      </c>
      <c r="F20" s="130" t="n">
        <v>13987478.77</v>
      </c>
      <c r="G20" s="130" t="n">
        <v>4980368.64</v>
      </c>
    </row>
    <row r="21">
      <c r="A21" t="inlineStr">
        <is>
          <t>资产处置收益（损失以“－”号填列）</t>
        </is>
      </c>
      <c r="B21" s="130" t="n">
        <v>1042201.67</v>
      </c>
      <c r="C21" s="130" t="n">
        <v>57929544.69</v>
      </c>
      <c r="D21" s="130" t="n">
        <v>11230509.72</v>
      </c>
      <c r="E21" s="130" t="n">
        <v>-2729203.44</v>
      </c>
    </row>
    <row r="22">
      <c r="A22" t="inlineStr">
        <is>
          <t>三、营业利润（亏损以“－”号填列）</t>
        </is>
      </c>
      <c r="B22" s="130" t="n">
        <v>19645177875.65</v>
      </c>
      <c r="C22" s="130" t="n">
        <v>22645875284.56</v>
      </c>
      <c r="D22" s="130" t="n">
        <v>22382019803.94</v>
      </c>
      <c r="E22" s="130" t="n">
        <v>23122272730.14</v>
      </c>
    </row>
    <row r="23">
      <c r="A23" t="inlineStr">
        <is>
          <t>加：营业外收入</t>
        </is>
      </c>
      <c r="B23" s="130" t="n">
        <v>43656630.94</v>
      </c>
      <c r="C23" s="130" t="n">
        <v>459103625.25</v>
      </c>
      <c r="D23" s="130" t="n">
        <v>260001397.75</v>
      </c>
      <c r="E23" s="130" t="n">
        <v>276708266.37</v>
      </c>
      <c r="F23" s="130" t="n">
        <v>86872482.78</v>
      </c>
      <c r="G23" s="130" t="n">
        <v>56862696.12</v>
      </c>
    </row>
    <row r="24">
      <c r="A24" t="inlineStr">
        <is>
          <t>减：营业外支出</t>
        </is>
      </c>
      <c r="B24" s="130" t="n">
        <v>119059658.48</v>
      </c>
      <c r="C24" s="130" t="n">
        <v>123821128.71</v>
      </c>
      <c r="D24" s="130" t="n">
        <v>78106216.23</v>
      </c>
      <c r="E24" s="130" t="n">
        <v>109912953.41</v>
      </c>
      <c r="F24" s="130" t="n">
        <v>10154598.81</v>
      </c>
      <c r="G24" s="130" t="n">
        <v>40430961.88</v>
      </c>
    </row>
    <row r="25">
      <c r="A25" t="inlineStr">
        <is>
          <t>四、利润总额（亏损总额以“－”号填列）</t>
        </is>
      </c>
      <c r="B25" s="130" t="n">
        <v>19569774848.11</v>
      </c>
      <c r="C25" s="130" t="n">
        <v>22981157781.1</v>
      </c>
      <c r="D25" s="130" t="n">
        <v>22563914985.46</v>
      </c>
      <c r="E25" s="130" t="n">
        <v>23289068043.1</v>
      </c>
    </row>
    <row r="26">
      <c r="A26" t="inlineStr">
        <is>
          <t>减：所得税费用</t>
        </is>
      </c>
      <c r="B26" s="130" t="n">
        <v>3246915644.4</v>
      </c>
      <c r="C26" s="130" t="n">
        <v>3570537058.7</v>
      </c>
      <c r="D26" s="130" t="n">
        <v>6010819922.83</v>
      </c>
      <c r="E26" s="130" t="n">
        <v>5318490376.1</v>
      </c>
      <c r="F26" s="130" t="n">
        <v>2182760615.34</v>
      </c>
      <c r="G26" s="130" t="n">
        <v>2821817655.85</v>
      </c>
    </row>
    <row r="27">
      <c r="A27" t="inlineStr">
        <is>
          <t>五、净利润（净亏损以“－”号填列）</t>
        </is>
      </c>
      <c r="B27" s="130" t="n">
        <v>16322859203.71</v>
      </c>
      <c r="C27" s="130" t="n">
        <v>19410620722.4</v>
      </c>
      <c r="D27" s="130" t="n">
        <v>16553095062.63</v>
      </c>
      <c r="E27" s="130" t="n">
        <v>17970577667</v>
      </c>
    </row>
    <row r="28">
      <c r="A28" t="inlineStr">
        <is>
          <t>1.持续经营净利润（净亏损以“－”号填列）</t>
        </is>
      </c>
      <c r="B28" s="130" t="n">
        <v>16322859203.71</v>
      </c>
      <c r="C28" s="130" t="n">
        <v>19410620722.4</v>
      </c>
      <c r="D28" s="130" t="n">
        <v>16553095062.63</v>
      </c>
      <c r="E28" s="130" t="n">
        <v>17970577667</v>
      </c>
    </row>
    <row r="29">
      <c r="A29" t="inlineStr">
        <is>
          <t>1.归属于母公司股东的净利润（净亏损以“-”号填列）</t>
        </is>
      </c>
      <c r="B29" s="130" t="n">
        <v>9010346636.48</v>
      </c>
      <c r="C29" s="130" t="n">
        <v>10623826706.6</v>
      </c>
      <c r="D29" s="130" t="n">
        <v>8777342050.34</v>
      </c>
      <c r="E29" s="130" t="n">
        <v>9304211536.74</v>
      </c>
      <c r="F29" s="130" t="n">
        <v>3641153734.88</v>
      </c>
      <c r="G29" s="130" t="n">
        <v>5666339869.26</v>
      </c>
    </row>
    <row r="30">
      <c r="A30" t="inlineStr">
        <is>
          <t>2.少数股东损益（净亏损以“-”号填列）</t>
        </is>
      </c>
      <c r="B30" s="130" t="n">
        <v>7312512567.23</v>
      </c>
      <c r="C30" s="130" t="n">
        <v>8786794015.799999</v>
      </c>
      <c r="D30" s="130" t="n">
        <v>7775753012.29</v>
      </c>
      <c r="E30" s="130" t="n">
        <v>8666366130.26</v>
      </c>
      <c r="F30" s="130" t="n">
        <v>3467754036.07</v>
      </c>
      <c r="G30" s="130" t="n">
        <v>5436318660.32</v>
      </c>
    </row>
    <row r="31">
      <c r="A31" t="inlineStr">
        <is>
          <t>六、其他综合收益的税后净额</t>
        </is>
      </c>
      <c r="B31" s="130" t="n">
        <v>-9071293.949999999</v>
      </c>
      <c r="C31" s="130" t="n">
        <v>-9954207.65</v>
      </c>
      <c r="D31" s="130" t="n">
        <v>-64502917.99</v>
      </c>
      <c r="E31" s="130" t="n">
        <v>5026645.16</v>
      </c>
      <c r="F31" s="130" t="n">
        <v>1004501.59</v>
      </c>
      <c r="G31" s="130" t="n">
        <v>-1609270.1</v>
      </c>
    </row>
    <row r="32">
      <c r="A32" t="inlineStr">
        <is>
          <t>（一）归属母公司所有者的其他综合收益的税后净额</t>
        </is>
      </c>
      <c r="B32" s="130" t="n">
        <v>-7242148.09</v>
      </c>
      <c r="C32" s="130" t="n">
        <v>-7589615.96</v>
      </c>
      <c r="D32" s="130" t="n">
        <v>-43618856.37</v>
      </c>
      <c r="E32" s="130" t="n">
        <v>5659948.87</v>
      </c>
      <c r="F32" s="130" t="n">
        <v>259132.58</v>
      </c>
      <c r="G32" s="130" t="n">
        <v>94167.42</v>
      </c>
    </row>
    <row r="33">
      <c r="A33" t="inlineStr">
        <is>
          <t>1．不能重分类进损益的其他综合收益</t>
        </is>
      </c>
      <c r="B33" s="130" t="n">
        <v>-3661321.04</v>
      </c>
      <c r="C33" s="130" t="n">
        <v>-6167658.27</v>
      </c>
      <c r="D33" s="130" t="n">
        <v>-21064548.99</v>
      </c>
      <c r="E33" s="130" t="n">
        <v>-627587.67</v>
      </c>
    </row>
    <row r="34">
      <c r="A34" t="inlineStr">
        <is>
          <t>（1）重新计量设定受益计划变动额</t>
        </is>
      </c>
      <c r="B34" s="130" t="n">
        <v>-1903441.99</v>
      </c>
      <c r="C34" s="130" t="n">
        <v>-5951670.6</v>
      </c>
      <c r="D34" s="130" t="n">
        <v>-20749102.38</v>
      </c>
      <c r="E34" s="130" t="n">
        <v>-437683.52</v>
      </c>
    </row>
    <row r="35">
      <c r="A35" t="inlineStr">
        <is>
          <t>（2）权益法下不能转损益的其他综合收益</t>
        </is>
      </c>
      <c r="B35" s="130" t="n">
        <v>-1757879.05</v>
      </c>
      <c r="C35" s="130" t="n">
        <v>-215987.67</v>
      </c>
      <c r="D35" s="130" t="n">
        <v>-315446.61</v>
      </c>
      <c r="E35" s="130" t="n">
        <v>-189904.15</v>
      </c>
      <c r="G35" s="130" t="n">
        <v>158845.53</v>
      </c>
    </row>
    <row r="36">
      <c r="A36" t="inlineStr">
        <is>
          <t>2．将重分类进损益的其他综合收益</t>
        </is>
      </c>
      <c r="B36" s="130" t="n">
        <v>-3580827.05</v>
      </c>
      <c r="C36" s="130" t="n">
        <v>-1421957.69</v>
      </c>
      <c r="D36" s="130" t="n">
        <v>-22554307.38</v>
      </c>
      <c r="E36" s="130" t="n">
        <v>6287536.54</v>
      </c>
    </row>
    <row r="37">
      <c r="A37" t="inlineStr">
        <is>
          <t>（1）权益法下可转损益的其他综合收益</t>
        </is>
      </c>
      <c r="B37" s="130" t="n">
        <v>-3370872.62</v>
      </c>
      <c r="C37" s="130" t="n">
        <v>-2067798.4</v>
      </c>
      <c r="D37" s="130" t="n">
        <v>804531.51</v>
      </c>
      <c r="E37" s="130" t="n">
        <v>6101689.57</v>
      </c>
      <c r="F37" s="130" t="n">
        <v>-1267521.16</v>
      </c>
      <c r="G37" s="130" t="n">
        <v>2616607.75</v>
      </c>
    </row>
    <row r="38">
      <c r="A38" t="inlineStr">
        <is>
          <t>（6）外币财务报表折算差额</t>
        </is>
      </c>
      <c r="B38" s="130" t="n">
        <v>-209954.43</v>
      </c>
      <c r="C38" s="130" t="n">
        <v>645840.71</v>
      </c>
      <c r="D38" s="130" t="n">
        <v>-23358838.89</v>
      </c>
      <c r="E38" s="130" t="n">
        <v>185846.97</v>
      </c>
      <c r="F38" s="130" t="n">
        <v>1526653.74</v>
      </c>
      <c r="G38" s="130" t="n">
        <v>-2681285.86</v>
      </c>
    </row>
    <row r="39">
      <c r="A39" t="inlineStr">
        <is>
          <t>（二）归属于少数股东的其他综合收益的税后净额</t>
        </is>
      </c>
      <c r="B39" s="130" t="n">
        <v>-1829145.86</v>
      </c>
      <c r="C39" s="130" t="n">
        <v>-2364591.69</v>
      </c>
      <c r="D39" s="130" t="n">
        <v>-20884061.62</v>
      </c>
      <c r="E39" s="130" t="n">
        <v>-633303.71</v>
      </c>
      <c r="F39" s="130" t="n">
        <v>745369.01</v>
      </c>
      <c r="G39" s="130" t="n">
        <v>-1703437.52</v>
      </c>
    </row>
    <row r="40">
      <c r="A40" t="inlineStr">
        <is>
          <t>七、综合收益总额</t>
        </is>
      </c>
      <c r="B40" s="130" t="n">
        <v>16313787909.76</v>
      </c>
      <c r="C40" s="130" t="n">
        <v>19400666514.75</v>
      </c>
      <c r="D40" s="130" t="n">
        <v>16488592144.64</v>
      </c>
      <c r="E40" s="130" t="n">
        <v>17975604312.16</v>
      </c>
      <c r="F40" s="130" t="n">
        <v>7109912272.54</v>
      </c>
      <c r="G40" s="130" t="n">
        <v>11101049259.48</v>
      </c>
    </row>
    <row r="41">
      <c r="A41" t="inlineStr">
        <is>
          <t>（一）归属于母公司所有者的综合收益总额</t>
        </is>
      </c>
      <c r="B41" s="130" t="n">
        <v>9003104488.389999</v>
      </c>
      <c r="C41" s="130" t="n">
        <v>10616237090.64</v>
      </c>
      <c r="D41" s="130" t="n">
        <v>8733723193.969999</v>
      </c>
      <c r="E41" s="130" t="n">
        <v>9309871485.610001</v>
      </c>
      <c r="F41" s="130" t="n">
        <v>3641412867.46</v>
      </c>
      <c r="G41" s="130" t="n">
        <v>5666434036.68</v>
      </c>
    </row>
    <row r="42">
      <c r="A42" t="inlineStr">
        <is>
          <t>（二）归属于少数股东的综合收益总额</t>
        </is>
      </c>
      <c r="B42" s="130" t="n">
        <v>7310683421.37</v>
      </c>
      <c r="C42" s="130" t="n">
        <v>8784429424.110001</v>
      </c>
      <c r="D42" s="130" t="n">
        <v>7754868950.67</v>
      </c>
      <c r="E42" s="130" t="n">
        <v>8665732826.549999</v>
      </c>
      <c r="F42" s="130" t="n">
        <v>3468499405.08</v>
      </c>
      <c r="G42" s="130" t="n">
        <v>5434615222.8</v>
      </c>
    </row>
    <row r="43">
      <c r="A43" t="inlineStr">
        <is>
          <t>（一）基本每股收益(元/股)</t>
        </is>
      </c>
      <c r="B43" s="130" t="n">
        <v>0.468</v>
      </c>
      <c r="C43" s="130" t="n">
        <v>0.554</v>
      </c>
      <c r="D43" s="130" t="n">
        <v>0.463</v>
      </c>
      <c r="E43" s="130" t="n">
        <v>0.453</v>
      </c>
      <c r="F43" s="130" t="n">
        <v>0.177</v>
      </c>
      <c r="G43" s="130" t="n">
        <v>0.275</v>
      </c>
    </row>
    <row r="44">
      <c r="A44" t="inlineStr">
        <is>
          <t>（二）稀释每股收益(元/股)</t>
        </is>
      </c>
      <c r="B44" s="130" t="n">
        <v>0.467</v>
      </c>
      <c r="C44" s="130" t="n">
        <v>0.554</v>
      </c>
      <c r="D44" s="130" t="n">
        <v>0.463</v>
      </c>
      <c r="E44" s="130" t="n">
        <v>0.453</v>
      </c>
      <c r="F44" s="130" t="n">
        <v>0.177</v>
      </c>
      <c r="G44" s="130" t="n">
        <v>0.275</v>
      </c>
    </row>
    <row r="46">
      <c r="A46" s="37" t="inlineStr">
        <is>
          <t>合并资产负债表</t>
        </is>
      </c>
      <c r="B46" s="37" t="inlineStr">
        <is>
          <t>2022A</t>
        </is>
      </c>
      <c r="C46" s="37" t="inlineStr">
        <is>
          <t>2023A</t>
        </is>
      </c>
      <c r="D46" s="37" t="inlineStr">
        <is>
          <t>2024A</t>
        </is>
      </c>
      <c r="E46" s="37" t="inlineStr">
        <is>
          <t>2025A</t>
        </is>
      </c>
      <c r="F46" s="37" t="inlineStr">
        <is>
          <t>2026H1A</t>
        </is>
      </c>
      <c r="G46" s="37" t="inlineStr">
        <is>
          <t>2025H1A/2025-12-31</t>
        </is>
      </c>
    </row>
    <row r="47">
      <c r="A47" t="inlineStr">
        <is>
          <t>货币资金</t>
        </is>
      </c>
      <c r="B47" s="130" t="n">
        <v>16161671502.14</v>
      </c>
      <c r="C47" s="130" t="n">
        <v>9773819118.860001</v>
      </c>
      <c r="D47" s="130" t="n">
        <v>19738017438.85</v>
      </c>
      <c r="E47" s="130" t="n">
        <v>15581642746.58</v>
      </c>
      <c r="F47" s="130" t="n">
        <v>18432078432.77</v>
      </c>
      <c r="G47" s="130" t="n">
        <v>15581642746.58</v>
      </c>
    </row>
    <row r="48">
      <c r="A48" t="inlineStr">
        <is>
          <t>交易性金融资产</t>
        </is>
      </c>
      <c r="B48" s="130" t="n">
        <v>1907551.66</v>
      </c>
    </row>
    <row r="49">
      <c r="A49" t="inlineStr">
        <is>
          <t>应收票据</t>
        </is>
      </c>
      <c r="B49" s="130" t="n">
        <v>152741678.79</v>
      </c>
      <c r="C49" s="130" t="n">
        <v>48900767.29</v>
      </c>
      <c r="D49" s="130" t="n">
        <v>34317714.7</v>
      </c>
      <c r="E49" s="130" t="n">
        <v>51520531.45</v>
      </c>
      <c r="F49" s="130" t="n">
        <v>30717772.81</v>
      </c>
      <c r="G49" s="130" t="n">
        <v>51520531.45</v>
      </c>
    </row>
    <row r="50">
      <c r="A50" t="inlineStr">
        <is>
          <t>应收账款</t>
        </is>
      </c>
      <c r="B50" s="130" t="n">
        <v>17210913147.74</v>
      </c>
      <c r="C50" s="130" t="n">
        <v>21365204533.58</v>
      </c>
      <c r="D50" s="130" t="n">
        <v>24650947763.36</v>
      </c>
      <c r="E50" s="130" t="n">
        <v>25373223624.85</v>
      </c>
      <c r="F50" s="130" t="n">
        <v>27686691082.63</v>
      </c>
      <c r="G50" s="130" t="n">
        <v>25373223624.85</v>
      </c>
    </row>
    <row r="51">
      <c r="A51" t="inlineStr">
        <is>
          <t>应收款项融资</t>
        </is>
      </c>
      <c r="B51" s="130" t="n">
        <v>1000000</v>
      </c>
    </row>
    <row r="52">
      <c r="A52" t="inlineStr">
        <is>
          <t>预付款项</t>
        </is>
      </c>
      <c r="B52" s="130" t="n">
        <v>2793899149.07</v>
      </c>
      <c r="C52" s="130" t="n">
        <v>4845160066.49</v>
      </c>
      <c r="D52" s="130" t="n">
        <v>2743420995.18</v>
      </c>
      <c r="E52" s="130" t="n">
        <v>2696254173.05</v>
      </c>
      <c r="F52" s="130" t="n">
        <v>2929042216.54</v>
      </c>
      <c r="G52" s="130" t="n">
        <v>2696254173.05</v>
      </c>
    </row>
    <row r="53">
      <c r="A53" t="inlineStr">
        <is>
          <t>其他应收款</t>
        </is>
      </c>
      <c r="B53" s="130" t="n">
        <v>1192576425.36</v>
      </c>
      <c r="C53" s="130" t="n">
        <v>1789872989.51</v>
      </c>
      <c r="D53" s="130" t="n">
        <v>2092528633.48</v>
      </c>
      <c r="E53" s="130" t="n">
        <v>2182402632.93</v>
      </c>
      <c r="F53" s="130" t="n">
        <v>2782184256.64</v>
      </c>
      <c r="G53" s="130" t="n">
        <v>2182402632.93</v>
      </c>
    </row>
    <row r="54">
      <c r="A54" t="inlineStr">
        <is>
          <t>应收股利</t>
        </is>
      </c>
      <c r="B54" s="130" t="n">
        <v>1493072.38</v>
      </c>
      <c r="C54" s="130" t="n">
        <v>1079812.32</v>
      </c>
      <c r="D54" s="130" t="n">
        <v>460215.18</v>
      </c>
      <c r="E54" s="130" t="n">
        <v>230107.59</v>
      </c>
      <c r="F54" s="130" t="n">
        <v>20476442.79</v>
      </c>
      <c r="G54" s="130" t="n">
        <v>230107.59</v>
      </c>
    </row>
    <row r="55">
      <c r="A55" t="inlineStr">
        <is>
          <t>存货</t>
        </is>
      </c>
      <c r="B55" s="130" t="n">
        <v>24809227804.28</v>
      </c>
      <c r="C55" s="130" t="n">
        <v>26422613122.64</v>
      </c>
      <c r="D55" s="130" t="n">
        <v>30860055929.67</v>
      </c>
      <c r="E55" s="130" t="n">
        <v>36321655980.12</v>
      </c>
      <c r="F55" s="130" t="n">
        <v>40517890131.03</v>
      </c>
      <c r="G55" s="130" t="n">
        <v>36321655980.12</v>
      </c>
    </row>
    <row r="56">
      <c r="A56" t="inlineStr">
        <is>
          <t>合同资产</t>
        </is>
      </c>
      <c r="B56" s="130" t="n">
        <v>181191814.14</v>
      </c>
      <c r="C56" s="130" t="n">
        <v>252533652.38</v>
      </c>
      <c r="D56" s="130" t="n">
        <v>199195030.97</v>
      </c>
      <c r="E56" s="130" t="n">
        <v>181059981.95</v>
      </c>
      <c r="F56" s="130" t="n">
        <v>164611175.01</v>
      </c>
      <c r="G56" s="130" t="n">
        <v>181059981.95</v>
      </c>
    </row>
    <row r="57">
      <c r="A57" t="inlineStr">
        <is>
          <t>一年内到期的非流动资产</t>
        </is>
      </c>
      <c r="B57" s="130" t="n">
        <v>54866333.33</v>
      </c>
      <c r="C57" s="130" t="n">
        <v>57080666.66</v>
      </c>
      <c r="D57" s="130" t="n">
        <v>55273302.78</v>
      </c>
      <c r="F57" s="130" t="n">
        <v>58634265.28</v>
      </c>
    </row>
    <row r="58">
      <c r="A58" t="inlineStr">
        <is>
          <t>其他流动资产</t>
        </is>
      </c>
      <c r="B58" s="130" t="n">
        <v>3200421454.06</v>
      </c>
      <c r="C58" s="130" t="n">
        <v>3685147810.19</v>
      </c>
      <c r="D58" s="130" t="n">
        <v>3807921248.32</v>
      </c>
      <c r="E58" s="130" t="n">
        <v>3689668424.56</v>
      </c>
      <c r="F58" s="130" t="n">
        <v>4237168122.73</v>
      </c>
      <c r="G58" s="130" t="n">
        <v>3689668424.56</v>
      </c>
    </row>
    <row r="59">
      <c r="A59" t="inlineStr">
        <is>
          <t>流动资产合计</t>
        </is>
      </c>
      <c r="B59" s="130" t="n">
        <v>65760416860.57</v>
      </c>
      <c r="C59" s="130" t="n">
        <v>68240332727.6</v>
      </c>
      <c r="D59" s="130" t="n">
        <v>84181678057.31</v>
      </c>
      <c r="E59" s="130" t="n">
        <v>86077428095.49001</v>
      </c>
      <c r="F59" s="130" t="n">
        <v>96839017455.44</v>
      </c>
      <c r="G59" s="130" t="n">
        <v>86077428095.49001</v>
      </c>
    </row>
    <row r="60">
      <c r="A60" t="inlineStr">
        <is>
          <t>债权投资</t>
        </is>
      </c>
      <c r="B60" s="130" t="n">
        <v>50631184.72</v>
      </c>
      <c r="C60" s="130" t="n">
        <v>52999527.78</v>
      </c>
      <c r="D60" s="130" t="n">
        <v>40777760.36</v>
      </c>
      <c r="E60" s="130" t="n">
        <v>86636774.45999999</v>
      </c>
      <c r="F60" s="130" t="n">
        <v>29126971.69</v>
      </c>
      <c r="G60" s="130" t="n">
        <v>86636774.45999999</v>
      </c>
    </row>
    <row r="61">
      <c r="A61" t="inlineStr">
        <is>
          <t>长期应收款</t>
        </is>
      </c>
      <c r="B61" s="130" t="n">
        <v>17219814.89</v>
      </c>
      <c r="C61" s="130" t="n">
        <v>17941807.42</v>
      </c>
      <c r="D61" s="130" t="n">
        <v>18793117.56</v>
      </c>
      <c r="E61" s="130" t="n">
        <v>19240250.24</v>
      </c>
      <c r="F61" s="130" t="n">
        <v>19240250.24</v>
      </c>
      <c r="G61" s="130" t="n">
        <v>19240250.24</v>
      </c>
    </row>
    <row r="62">
      <c r="A62" t="inlineStr">
        <is>
          <t>长期股权投资</t>
        </is>
      </c>
      <c r="B62" s="130" t="n">
        <v>5684588939.69</v>
      </c>
      <c r="C62" s="130" t="n">
        <v>7579961902.73</v>
      </c>
      <c r="D62" s="130" t="n">
        <v>8411163024.19</v>
      </c>
      <c r="E62" s="130" t="n">
        <v>10385288524.32</v>
      </c>
      <c r="F62" s="130" t="n">
        <v>10724612017.79</v>
      </c>
      <c r="G62" s="130" t="n">
        <v>10385288524.32</v>
      </c>
    </row>
    <row r="63">
      <c r="A63" t="inlineStr">
        <is>
          <t>其他非流动金融资产</t>
        </is>
      </c>
      <c r="B63" s="130" t="n">
        <v>52651511.24</v>
      </c>
      <c r="C63" s="130" t="n">
        <v>52651511.24</v>
      </c>
      <c r="D63" s="130" t="n">
        <v>53924333.61</v>
      </c>
      <c r="E63" s="130" t="n">
        <v>54924333.61</v>
      </c>
      <c r="F63" s="130" t="n">
        <v>54924333.61</v>
      </c>
      <c r="G63" s="130" t="n">
        <v>54924333.61</v>
      </c>
    </row>
    <row r="64">
      <c r="A64" t="inlineStr">
        <is>
          <t>投资性房地产</t>
        </is>
      </c>
      <c r="B64" s="130" t="n">
        <v>423015329.27</v>
      </c>
      <c r="C64" s="130" t="n">
        <v>422052061.5</v>
      </c>
      <c r="D64" s="130" t="n">
        <v>377232994.1</v>
      </c>
      <c r="E64" s="130" t="n">
        <v>367525989.14</v>
      </c>
      <c r="F64" s="130" t="n">
        <v>355606029.97</v>
      </c>
      <c r="G64" s="130" t="n">
        <v>367525989.14</v>
      </c>
    </row>
    <row r="65">
      <c r="A65" t="inlineStr">
        <is>
          <t>固定资产</t>
        </is>
      </c>
      <c r="B65" s="130" t="n">
        <v>269031654824.12</v>
      </c>
      <c r="C65" s="130" t="n">
        <v>276922382408.11</v>
      </c>
      <c r="D65" s="130" t="n">
        <v>299236825336.71</v>
      </c>
      <c r="E65" s="130" t="n">
        <v>352016402014.66</v>
      </c>
      <c r="F65" s="130" t="n">
        <v>359937788886.69</v>
      </c>
      <c r="G65" s="130" t="n">
        <v>352016402014.66</v>
      </c>
    </row>
    <row r="66">
      <c r="A66" t="inlineStr">
        <is>
          <t>在建工程</t>
        </is>
      </c>
      <c r="B66" s="130" t="n">
        <v>101513648741.31</v>
      </c>
      <c r="C66" s="130" t="n">
        <v>153574844649.7</v>
      </c>
      <c r="D66" s="130" t="n">
        <v>215765752291.72</v>
      </c>
      <c r="E66" s="130" t="n">
        <v>240079034481.6</v>
      </c>
      <c r="F66" s="130" t="n">
        <v>256230277981.41</v>
      </c>
      <c r="G66" s="130" t="n">
        <v>240079034481.6</v>
      </c>
    </row>
    <row r="67">
      <c r="A67" t="inlineStr">
        <is>
          <t>使用权资产</t>
        </is>
      </c>
      <c r="B67" s="130" t="n">
        <v>3665437938.97</v>
      </c>
      <c r="C67" s="130" t="n">
        <v>5393142099.13</v>
      </c>
      <c r="D67" s="130" t="n">
        <v>7519428919.44</v>
      </c>
      <c r="E67" s="130" t="n">
        <v>6505655353.94</v>
      </c>
      <c r="F67" s="130" t="n">
        <v>6285837792.13</v>
      </c>
      <c r="G67" s="130" t="n">
        <v>6505655353.94</v>
      </c>
    </row>
    <row r="68">
      <c r="A68" t="inlineStr">
        <is>
          <t>无形资产</t>
        </is>
      </c>
      <c r="B68" s="130" t="n">
        <v>2134154469.71</v>
      </c>
      <c r="C68" s="130" t="n">
        <v>2735935047.56</v>
      </c>
      <c r="D68" s="130" t="n">
        <v>6161840694.88</v>
      </c>
      <c r="E68" s="130" t="n">
        <v>7679698669.52</v>
      </c>
      <c r="F68" s="130" t="n">
        <v>7553902709.67</v>
      </c>
      <c r="G68" s="130" t="n">
        <v>7679698669.52</v>
      </c>
    </row>
    <row r="69">
      <c r="A69" t="inlineStr">
        <is>
          <t>开发支出</t>
        </is>
      </c>
      <c r="B69" s="130" t="n">
        <v>1011319729.89</v>
      </c>
      <c r="C69" s="130" t="n">
        <v>1067440704.49</v>
      </c>
      <c r="D69" s="130" t="n">
        <v>1255200131.1</v>
      </c>
      <c r="E69" s="130" t="n">
        <v>1703646094.41</v>
      </c>
      <c r="F69" s="130" t="n">
        <v>1766873126.16</v>
      </c>
      <c r="G69" s="130" t="n">
        <v>1703646094.41</v>
      </c>
    </row>
    <row r="70">
      <c r="A70" t="inlineStr">
        <is>
          <t>商誉</t>
        </is>
      </c>
      <c r="B70" s="130" t="n">
        <v>3936893410.65</v>
      </c>
      <c r="C70" s="130" t="n">
        <v>5610570203</v>
      </c>
      <c r="D70" s="130" t="n">
        <v>5770571214.74</v>
      </c>
      <c r="E70" s="130" t="n">
        <v>5418885467.77</v>
      </c>
      <c r="F70" s="130" t="n">
        <v>5418885467.77</v>
      </c>
      <c r="G70" s="130" t="n">
        <v>5418885467.77</v>
      </c>
    </row>
    <row r="71">
      <c r="A71" t="inlineStr">
        <is>
          <t>长期待摊费用</t>
        </is>
      </c>
      <c r="B71" s="130" t="n">
        <v>1052941660.63</v>
      </c>
      <c r="C71" s="130" t="n">
        <v>1012323340.13</v>
      </c>
      <c r="D71" s="130" t="n">
        <v>1167653091.47</v>
      </c>
      <c r="E71" s="130" t="n">
        <v>1102836722.45</v>
      </c>
      <c r="F71" s="130" t="n">
        <v>1178211724.93</v>
      </c>
      <c r="G71" s="130" t="n">
        <v>1102836722.45</v>
      </c>
    </row>
    <row r="72">
      <c r="A72" t="inlineStr">
        <is>
          <t>递延所得税资产</t>
        </is>
      </c>
      <c r="B72" s="130" t="n">
        <v>1984850949.46</v>
      </c>
      <c r="C72" s="130" t="n">
        <v>1827469415.24</v>
      </c>
      <c r="D72" s="130" t="n">
        <v>1909684676.97</v>
      </c>
      <c r="E72" s="130" t="n">
        <v>2004661362.24</v>
      </c>
      <c r="F72" s="130" t="n">
        <v>2080262132.2</v>
      </c>
      <c r="G72" s="130" t="n">
        <v>2004661362.24</v>
      </c>
    </row>
    <row r="73">
      <c r="A73" t="inlineStr">
        <is>
          <t>其他非流动资产</t>
        </is>
      </c>
      <c r="B73" s="130" t="n">
        <v>8531745528.98</v>
      </c>
      <c r="C73" s="130" t="n">
        <v>14757203070.39</v>
      </c>
      <c r="D73" s="130" t="n">
        <v>27868643197.11</v>
      </c>
      <c r="E73" s="130" t="n">
        <v>35760129973.46</v>
      </c>
      <c r="F73" s="130" t="n">
        <v>39196247499.09</v>
      </c>
      <c r="G73" s="130" t="n">
        <v>35760129973.46</v>
      </c>
    </row>
    <row r="74">
      <c r="A74" t="inlineStr">
        <is>
          <t>非流动资产合计</t>
        </is>
      </c>
      <c r="B74" s="130" t="n">
        <v>399090754033.53</v>
      </c>
      <c r="C74" s="130" t="n">
        <v>471026917748.42</v>
      </c>
      <c r="D74" s="130" t="n">
        <v>575557490783.96</v>
      </c>
      <c r="E74" s="130" t="n">
        <v>663184566011.8199</v>
      </c>
      <c r="F74" s="130" t="n">
        <v>690831796923.35</v>
      </c>
      <c r="G74" s="130" t="n">
        <v>663184566011.8199</v>
      </c>
    </row>
    <row r="75">
      <c r="A75" t="inlineStr">
        <is>
          <t>资产总计</t>
        </is>
      </c>
      <c r="B75" s="130" t="n">
        <v>464851170894.1</v>
      </c>
      <c r="C75" s="130" t="n">
        <v>539267250476.02</v>
      </c>
      <c r="D75" s="130" t="n">
        <v>659739168841.27</v>
      </c>
      <c r="E75" s="130" t="n">
        <v>749261994107.3101</v>
      </c>
      <c r="F75" s="130" t="n">
        <v>787670814378.79</v>
      </c>
      <c r="G75" s="130" t="n">
        <v>749261994107.3101</v>
      </c>
    </row>
    <row r="76">
      <c r="A76" t="inlineStr">
        <is>
          <t>短期借款</t>
        </is>
      </c>
      <c r="B76" s="130" t="n">
        <v>15364517114.47</v>
      </c>
      <c r="C76" s="130" t="n">
        <v>19864354933.72</v>
      </c>
      <c r="D76" s="130" t="n">
        <v>29075733890.52</v>
      </c>
      <c r="E76" s="130" t="n">
        <v>25271882773.42</v>
      </c>
      <c r="F76" s="130" t="n">
        <v>24607062498.02</v>
      </c>
      <c r="G76" s="130" t="n">
        <v>25271882773.42</v>
      </c>
    </row>
    <row r="77">
      <c r="A77" t="inlineStr">
        <is>
          <t>应付票据</t>
        </is>
      </c>
      <c r="B77" s="130" t="n">
        <v>157566496.77</v>
      </c>
      <c r="C77" s="130" t="n">
        <v>2191991852.91</v>
      </c>
      <c r="D77" s="130" t="n">
        <v>1784325944.5</v>
      </c>
      <c r="E77" s="130" t="n">
        <v>2057648103.48</v>
      </c>
      <c r="F77" s="130" t="n">
        <v>3273979366</v>
      </c>
      <c r="G77" s="130" t="n">
        <v>2057648103.48</v>
      </c>
    </row>
    <row r="78">
      <c r="A78" t="inlineStr">
        <is>
          <t>应付账款</t>
        </is>
      </c>
      <c r="B78" s="130" t="n">
        <v>20381420322.66</v>
      </c>
      <c r="C78" s="130" t="n">
        <v>20215581345.66</v>
      </c>
      <c r="D78" s="130" t="n">
        <v>25082026161.46</v>
      </c>
      <c r="E78" s="130" t="n">
        <v>26607087264.69</v>
      </c>
      <c r="F78" s="130" t="n">
        <v>31794000299.98</v>
      </c>
      <c r="G78" s="130" t="n">
        <v>26607087264.69</v>
      </c>
    </row>
    <row r="79">
      <c r="A79" t="inlineStr">
        <is>
          <t>预收款项</t>
        </is>
      </c>
      <c r="B79" s="130" t="n">
        <v>2069264.24</v>
      </c>
      <c r="C79" s="130" t="n">
        <v>7579375.72</v>
      </c>
      <c r="D79" s="130" t="n">
        <v>7461767.24</v>
      </c>
      <c r="E79" s="130" t="n">
        <v>12659286.47</v>
      </c>
      <c r="F79" s="130" t="n">
        <v>12493643.51</v>
      </c>
      <c r="G79" s="130" t="n">
        <v>12659286.47</v>
      </c>
    </row>
    <row r="80">
      <c r="A80" t="inlineStr">
        <is>
          <t>合同负债</t>
        </is>
      </c>
      <c r="B80" s="130" t="n">
        <v>94726619.3</v>
      </c>
      <c r="C80" s="130" t="n">
        <v>245214022.78</v>
      </c>
      <c r="D80" s="130" t="n">
        <v>433205942.99</v>
      </c>
      <c r="E80" s="130" t="n">
        <v>418561324.03</v>
      </c>
      <c r="F80" s="130" t="n">
        <v>569938453.73</v>
      </c>
      <c r="G80" s="130" t="n">
        <v>418561324.03</v>
      </c>
    </row>
    <row r="81">
      <c r="A81" t="inlineStr">
        <is>
          <t>应付职工薪酬</t>
        </is>
      </c>
      <c r="B81" s="130" t="n">
        <v>485396665.89</v>
      </c>
      <c r="C81" s="130" t="n">
        <v>584567931.5</v>
      </c>
      <c r="D81" s="130" t="n">
        <v>514034725.34</v>
      </c>
      <c r="E81" s="130" t="n">
        <v>568005148.11</v>
      </c>
      <c r="F81" s="130" t="n">
        <v>653581485.58</v>
      </c>
      <c r="G81" s="130" t="n">
        <v>568005148.11</v>
      </c>
    </row>
    <row r="82">
      <c r="A82" t="inlineStr">
        <is>
          <t>应交税费</t>
        </is>
      </c>
      <c r="B82" s="130" t="n">
        <v>3907497970.82</v>
      </c>
      <c r="C82" s="130" t="n">
        <v>4271029092.63</v>
      </c>
      <c r="D82" s="130" t="n">
        <v>7058890048.45</v>
      </c>
      <c r="E82" s="130" t="n">
        <v>5771844407.25</v>
      </c>
      <c r="F82" s="130" t="n">
        <v>3794525531.75</v>
      </c>
      <c r="G82" s="130" t="n">
        <v>5771844407.25</v>
      </c>
    </row>
    <row r="83">
      <c r="A83" t="inlineStr">
        <is>
          <t>其他应付款</t>
        </is>
      </c>
      <c r="B83" s="130" t="n">
        <v>2715548091.05</v>
      </c>
      <c r="C83" s="130" t="n">
        <v>4954743613.75</v>
      </c>
      <c r="D83" s="130" t="n">
        <v>3902535346.99</v>
      </c>
      <c r="E83" s="130" t="n">
        <v>3226438239.79</v>
      </c>
      <c r="F83" s="130" t="n">
        <v>6390387683.14</v>
      </c>
      <c r="G83" s="130" t="n">
        <v>3226438239.79</v>
      </c>
    </row>
    <row r="84">
      <c r="A84" t="inlineStr">
        <is>
          <t>应付股利</t>
        </is>
      </c>
      <c r="B84" s="130" t="n">
        <v>484423711.3</v>
      </c>
      <c r="C84" s="130" t="n">
        <v>484794387.14</v>
      </c>
      <c r="D84" s="130" t="n">
        <v>173096774.82</v>
      </c>
      <c r="E84" s="130" t="n">
        <v>576840442.9</v>
      </c>
      <c r="F84" s="130" t="n">
        <v>3738492217.81</v>
      </c>
      <c r="G84" s="130" t="n">
        <v>576840442.9</v>
      </c>
    </row>
    <row r="85">
      <c r="A85" t="inlineStr">
        <is>
          <t>一年内到期的非流动负债</t>
        </is>
      </c>
      <c r="B85" s="130" t="n">
        <v>23419187470.4</v>
      </c>
      <c r="C85" s="130" t="n">
        <v>39508372214.1</v>
      </c>
      <c r="D85" s="130" t="n">
        <v>31319101442.46</v>
      </c>
      <c r="E85" s="130" t="n">
        <v>39954136040.66</v>
      </c>
      <c r="F85" s="130" t="n">
        <v>39350951468.09</v>
      </c>
      <c r="G85" s="130" t="n">
        <v>39954136040.66</v>
      </c>
    </row>
    <row r="86">
      <c r="A86" t="inlineStr">
        <is>
          <t>其他流动负债</t>
        </is>
      </c>
      <c r="B86" s="130" t="n">
        <v>7409055887.13</v>
      </c>
      <c r="C86" s="130" t="n">
        <v>5754545019.67</v>
      </c>
      <c r="D86" s="130" t="n">
        <v>2565800453.15</v>
      </c>
      <c r="E86" s="130" t="n">
        <v>1625211862.13</v>
      </c>
      <c r="F86" s="130" t="n">
        <v>1038516097.89</v>
      </c>
      <c r="G86" s="130" t="n">
        <v>1625211862.13</v>
      </c>
    </row>
    <row r="87">
      <c r="A87" t="inlineStr">
        <is>
          <t>流动负债合计</t>
        </is>
      </c>
      <c r="B87" s="130" t="n">
        <v>73936985902.73</v>
      </c>
      <c r="C87" s="130" t="n">
        <v>97597979402.44</v>
      </c>
      <c r="D87" s="130" t="n">
        <v>101743115723.1</v>
      </c>
      <c r="E87" s="130" t="n">
        <v>105513474450.03</v>
      </c>
      <c r="F87" s="130" t="n">
        <v>111485436527.69</v>
      </c>
      <c r="G87" s="130" t="n">
        <v>105513474450.03</v>
      </c>
    </row>
    <row r="88">
      <c r="A88" t="inlineStr">
        <is>
          <t>长期借款</t>
        </is>
      </c>
      <c r="B88" s="130" t="n">
        <v>208511267907.01</v>
      </c>
      <c r="C88" s="130" t="n">
        <v>244853364036.77</v>
      </c>
      <c r="D88" s="130" t="n">
        <v>304303896338.74</v>
      </c>
      <c r="E88" s="130" t="n">
        <v>363175954939.03</v>
      </c>
      <c r="F88" s="130" t="n">
        <v>389191295740.88</v>
      </c>
      <c r="G88" s="130" t="n">
        <v>363175954939.03</v>
      </c>
    </row>
    <row r="89">
      <c r="A89" t="inlineStr">
        <is>
          <t>应付债券</t>
        </is>
      </c>
      <c r="B89" s="130" t="n">
        <v>8999285988.370001</v>
      </c>
      <c r="C89" s="130" t="n">
        <v>8401726699.89</v>
      </c>
      <c r="D89" s="130" t="n">
        <v>14963679102.61</v>
      </c>
      <c r="E89" s="130" t="n">
        <v>11963885287.65</v>
      </c>
      <c r="F89" s="130" t="n">
        <v>15494388469.91</v>
      </c>
      <c r="G89" s="130" t="n">
        <v>11963885287.65</v>
      </c>
    </row>
    <row r="90">
      <c r="A90" t="inlineStr">
        <is>
          <t>租赁负债</t>
        </is>
      </c>
      <c r="B90" s="130" t="n">
        <v>2789770519.36</v>
      </c>
      <c r="C90" s="130" t="n">
        <v>3623734821.09</v>
      </c>
      <c r="D90" s="130" t="n">
        <v>4207993507.14</v>
      </c>
      <c r="E90" s="130" t="n">
        <v>4726352365.3</v>
      </c>
      <c r="F90" s="130" t="n">
        <v>4656120795</v>
      </c>
      <c r="G90" s="130" t="n">
        <v>4726352365.3</v>
      </c>
    </row>
    <row r="91">
      <c r="A91" t="inlineStr">
        <is>
          <t>长期应付款</t>
        </is>
      </c>
      <c r="B91" s="130" t="n">
        <v>15648042523.81</v>
      </c>
      <c r="C91" s="130" t="n">
        <v>15191175125.4</v>
      </c>
      <c r="D91" s="130" t="n">
        <v>17773875358.68</v>
      </c>
      <c r="E91" s="130" t="n">
        <v>23512447922.9</v>
      </c>
      <c r="F91" s="130" t="n">
        <v>25669418386.95</v>
      </c>
      <c r="G91" s="130" t="n">
        <v>23512447922.9</v>
      </c>
    </row>
    <row r="92">
      <c r="A92" t="inlineStr">
        <is>
          <t>长期应付职工薪酬</t>
        </is>
      </c>
      <c r="B92" s="130" t="n">
        <v>406810000</v>
      </c>
      <c r="C92" s="130" t="n">
        <v>392330000</v>
      </c>
      <c r="D92" s="130" t="n">
        <v>396670000</v>
      </c>
      <c r="E92" s="130" t="n">
        <v>371680381.21</v>
      </c>
      <c r="F92" s="130" t="n">
        <v>358324639.23</v>
      </c>
      <c r="G92" s="130" t="n">
        <v>371680381.21</v>
      </c>
    </row>
    <row r="93">
      <c r="A93" t="inlineStr">
        <is>
          <t>预计负债</t>
        </is>
      </c>
      <c r="B93" s="130" t="n">
        <v>5951673320.33</v>
      </c>
      <c r="C93" s="130" t="n">
        <v>6107798323</v>
      </c>
      <c r="D93" s="130" t="n">
        <v>6325117962.01</v>
      </c>
      <c r="E93" s="130" t="n">
        <v>6993916498.42</v>
      </c>
      <c r="F93" s="130" t="n">
        <v>7423762899.5</v>
      </c>
      <c r="G93" s="130" t="n">
        <v>6993916498.42</v>
      </c>
    </row>
    <row r="94">
      <c r="A94" t="inlineStr">
        <is>
          <t>递延收益</t>
        </is>
      </c>
      <c r="B94" s="130" t="n">
        <v>140040350.29</v>
      </c>
      <c r="C94" s="130" t="n">
        <v>152047906.85</v>
      </c>
      <c r="D94" s="130" t="n">
        <v>168436991.87</v>
      </c>
      <c r="E94" s="130" t="n">
        <v>106341743.27</v>
      </c>
      <c r="F94" s="130" t="n">
        <v>103719605.04</v>
      </c>
      <c r="G94" s="130" t="n">
        <v>106341743.27</v>
      </c>
    </row>
    <row r="95">
      <c r="A95" t="inlineStr">
        <is>
          <t>递延所得税负债</t>
        </is>
      </c>
      <c r="B95" s="130" t="n">
        <v>506172641.94</v>
      </c>
      <c r="C95" s="130" t="n">
        <v>149091469.23</v>
      </c>
      <c r="D95" s="130" t="n">
        <v>488424013.05</v>
      </c>
      <c r="E95" s="130" t="n">
        <v>672195419.33</v>
      </c>
      <c r="F95" s="130" t="n">
        <v>552144077.27</v>
      </c>
      <c r="G95" s="130" t="n">
        <v>672195419.33</v>
      </c>
    </row>
    <row r="96">
      <c r="A96" t="inlineStr">
        <is>
          <t>非流动负债合计</t>
        </is>
      </c>
      <c r="B96" s="130" t="n">
        <v>242953063251.11</v>
      </c>
      <c r="C96" s="130" t="n">
        <v>278871268382.23</v>
      </c>
      <c r="D96" s="130" t="n">
        <v>348628093274.1</v>
      </c>
      <c r="E96" s="130" t="n">
        <v>411522774557.11</v>
      </c>
      <c r="F96" s="130" t="n">
        <v>443449174613.78</v>
      </c>
      <c r="G96" s="130" t="n">
        <v>411522774557.11</v>
      </c>
    </row>
    <row r="97">
      <c r="A97" t="inlineStr">
        <is>
          <t>负债合计</t>
        </is>
      </c>
      <c r="B97" s="130" t="n">
        <v>316890049153.84</v>
      </c>
      <c r="C97" s="130" t="n">
        <v>376469247784.67</v>
      </c>
      <c r="D97" s="130" t="n">
        <v>450371208997.2</v>
      </c>
      <c r="E97" s="130" t="n">
        <v>517036249007.14</v>
      </c>
      <c r="F97" s="130" t="n">
        <v>554934611141.47</v>
      </c>
      <c r="G97" s="130" t="n">
        <v>517036249007.14</v>
      </c>
    </row>
    <row r="98">
      <c r="A98" t="inlineStr">
        <is>
          <t>实收资本（或股本）</t>
        </is>
      </c>
      <c r="B98" s="130" t="n">
        <v>18860704150</v>
      </c>
      <c r="C98" s="130" t="n">
        <v>18883284867</v>
      </c>
      <c r="D98" s="130" t="n">
        <v>20568002074</v>
      </c>
      <c r="E98" s="130" t="n">
        <v>20568002074</v>
      </c>
      <c r="F98" s="130" t="n">
        <v>20568002074</v>
      </c>
      <c r="G98" s="130" t="n">
        <v>20568002074</v>
      </c>
    </row>
    <row r="99">
      <c r="A99" t="inlineStr">
        <is>
          <t>其他权益工具</t>
        </is>
      </c>
      <c r="B99" s="130" t="n">
        <v>6000000000</v>
      </c>
      <c r="C99" s="130" t="n">
        <v>1000000000</v>
      </c>
      <c r="D99" s="130" t="n">
        <v>1000000000</v>
      </c>
      <c r="E99" s="130" t="n">
        <v>1000000000</v>
      </c>
      <c r="F99" s="130" t="n">
        <v>1000000000</v>
      </c>
      <c r="G99" s="130" t="n">
        <v>1000000000</v>
      </c>
    </row>
    <row r="100">
      <c r="A100" t="inlineStr">
        <is>
          <t>永续债</t>
        </is>
      </c>
      <c r="B100" s="130" t="n">
        <v>6000000000</v>
      </c>
      <c r="C100" s="130" t="n">
        <v>1000000000</v>
      </c>
      <c r="D100" s="130" t="n">
        <v>1000000000</v>
      </c>
      <c r="E100" s="130" t="n">
        <v>1000000000</v>
      </c>
      <c r="F100" s="130" t="n">
        <v>1000000000</v>
      </c>
      <c r="G100" s="130" t="n">
        <v>1000000000</v>
      </c>
    </row>
    <row r="101">
      <c r="A101" t="inlineStr">
        <is>
          <t>资本公积</t>
        </is>
      </c>
      <c r="B101" s="130" t="n">
        <v>27400130943.23</v>
      </c>
      <c r="C101" s="130" t="n">
        <v>27336442866.8</v>
      </c>
      <c r="D101" s="130" t="n">
        <v>40206007529.54</v>
      </c>
      <c r="E101" s="130" t="n">
        <v>43444432173.93</v>
      </c>
      <c r="F101" s="130" t="n">
        <v>43759230202.83</v>
      </c>
      <c r="G101" s="130" t="n">
        <v>43444432173.93</v>
      </c>
    </row>
    <row r="102">
      <c r="A102" t="inlineStr">
        <is>
          <t>减：库存股</t>
        </is>
      </c>
      <c r="E102" s="130" t="n">
        <v>374840539.48</v>
      </c>
      <c r="F102" s="130" t="n">
        <v>483816660.72</v>
      </c>
      <c r="G102" s="130" t="n">
        <v>374840539.48</v>
      </c>
    </row>
    <row r="103">
      <c r="A103" t="inlineStr">
        <is>
          <t>其他综合收益</t>
        </is>
      </c>
      <c r="B103" s="130" t="n">
        <v>-78395737.69</v>
      </c>
      <c r="C103" s="130" t="n">
        <v>-85985353.65000001</v>
      </c>
      <c r="D103" s="130" t="n">
        <v>-129604210.02</v>
      </c>
      <c r="E103" s="130" t="n">
        <v>-123944261.15</v>
      </c>
      <c r="F103" s="130" t="n">
        <v>-123685128.57</v>
      </c>
      <c r="G103" s="130" t="n">
        <v>-123944261.15</v>
      </c>
    </row>
    <row r="104">
      <c r="A104" t="inlineStr">
        <is>
          <t>专项储备</t>
        </is>
      </c>
      <c r="B104" s="130" t="n">
        <v>322071659.52</v>
      </c>
      <c r="C104" s="130" t="n">
        <v>404939622</v>
      </c>
      <c r="D104" s="130" t="n">
        <v>470544958.88</v>
      </c>
      <c r="E104" s="130" t="n">
        <v>524120270.74</v>
      </c>
      <c r="F104" s="130" t="n">
        <v>665012306.27</v>
      </c>
      <c r="G104" s="130" t="n">
        <v>524120270.74</v>
      </c>
    </row>
    <row r="105">
      <c r="A105" t="inlineStr">
        <is>
          <t>盈余公积</t>
        </is>
      </c>
      <c r="B105" s="130" t="n">
        <v>4894003323.54</v>
      </c>
      <c r="C105" s="130" t="n">
        <v>5660751926.96</v>
      </c>
      <c r="D105" s="130" t="n">
        <v>6444059555.69</v>
      </c>
      <c r="E105" s="130" t="n">
        <v>7166406459.16</v>
      </c>
      <c r="F105" s="130" t="n">
        <v>7166406459.16</v>
      </c>
      <c r="G105" s="130" t="n">
        <v>7166406459.16</v>
      </c>
    </row>
    <row r="106">
      <c r="A106" t="inlineStr">
        <is>
          <t>未分配利润</t>
        </is>
      </c>
      <c r="B106" s="130" t="n">
        <v>31334470027.2</v>
      </c>
      <c r="C106" s="130" t="n">
        <v>37750189702.99</v>
      </c>
      <c r="D106" s="130" t="n">
        <v>41658017873.57</v>
      </c>
      <c r="E106" s="130" t="n">
        <v>46513429716.66</v>
      </c>
      <c r="F106" s="130" t="n">
        <v>46872345080.82</v>
      </c>
      <c r="G106" s="130" t="n">
        <v>46513429716.66</v>
      </c>
    </row>
    <row r="107">
      <c r="A107" t="inlineStr">
        <is>
          <t>归属于母公司所有者权益（或股东权益）合计</t>
        </is>
      </c>
      <c r="B107" s="130" t="n">
        <v>88732984365.8</v>
      </c>
      <c r="C107" s="130" t="n">
        <v>90949623632.10001</v>
      </c>
      <c r="D107" s="130" t="n">
        <v>110217027781.66</v>
      </c>
      <c r="E107" s="130" t="n">
        <v>118717605893.86</v>
      </c>
      <c r="F107" s="130" t="n">
        <v>119423494333.79</v>
      </c>
      <c r="G107" s="130" t="n">
        <v>118717605893.86</v>
      </c>
    </row>
    <row r="108">
      <c r="A108" t="inlineStr">
        <is>
          <t>少数股东权益</t>
        </is>
      </c>
      <c r="B108" s="130" t="n">
        <v>59228137374.46</v>
      </c>
      <c r="C108" s="130" t="n">
        <v>71848379059.25</v>
      </c>
      <c r="D108" s="130" t="n">
        <v>99150932062.41</v>
      </c>
      <c r="E108" s="130" t="n">
        <v>113508139206.31</v>
      </c>
      <c r="F108" s="130" t="n">
        <v>113312708903.53</v>
      </c>
      <c r="G108" s="130" t="n">
        <v>113508139206.31</v>
      </c>
    </row>
    <row r="109">
      <c r="A109" t="inlineStr">
        <is>
          <t>所有者权益（或股东权益）合计</t>
        </is>
      </c>
      <c r="B109" s="130" t="n">
        <v>147961121740.26</v>
      </c>
      <c r="C109" s="130" t="n">
        <v>162798002691.35</v>
      </c>
      <c r="D109" s="130" t="n">
        <v>209367959844.07</v>
      </c>
      <c r="E109" s="130" t="n">
        <v>232225745100.17</v>
      </c>
      <c r="F109" s="130" t="n">
        <v>232736203237.32</v>
      </c>
      <c r="G109" s="130" t="n">
        <v>232225745100.17</v>
      </c>
    </row>
    <row r="110">
      <c r="A110" t="inlineStr">
        <is>
          <t>负债和所有者权益（或股东权益）总计</t>
        </is>
      </c>
      <c r="B110" s="130" t="n">
        <v>464851170894.1</v>
      </c>
      <c r="C110" s="130" t="n">
        <v>539267250476.02</v>
      </c>
      <c r="D110" s="130" t="n">
        <v>659739168841.27</v>
      </c>
      <c r="E110" s="130" t="n">
        <v>749261994107.3101</v>
      </c>
      <c r="F110" s="130" t="n">
        <v>787670814378.79</v>
      </c>
      <c r="G110" s="130" t="n">
        <v>749261994107.3101</v>
      </c>
    </row>
    <row r="112">
      <c r="A112" s="37" t="inlineStr">
        <is>
          <t>合并现金流量表</t>
        </is>
      </c>
      <c r="B112" s="37" t="inlineStr">
        <is>
          <t>2022A</t>
        </is>
      </c>
      <c r="C112" s="37" t="inlineStr">
        <is>
          <t>2023A</t>
        </is>
      </c>
      <c r="D112" s="37" t="inlineStr">
        <is>
          <t>2024A</t>
        </is>
      </c>
      <c r="E112" s="37" t="inlineStr">
        <is>
          <t>2025A</t>
        </is>
      </c>
      <c r="F112" s="37" t="inlineStr">
        <is>
          <t>2026H1A</t>
        </is>
      </c>
      <c r="G112" s="37" t="inlineStr">
        <is>
          <t>2025H1A/2025-12-31</t>
        </is>
      </c>
    </row>
    <row r="113">
      <c r="A113" t="inlineStr">
        <is>
          <t>销售商品、提供劳务收到的现金</t>
        </is>
      </c>
      <c r="B113" s="130" t="n">
        <v>81477165705.11</v>
      </c>
      <c r="C113" s="130" t="n">
        <v>82724536381.10001</v>
      </c>
      <c r="D113" s="130" t="n">
        <v>86130350248.32001</v>
      </c>
      <c r="E113" s="130" t="n">
        <v>92408760735.14</v>
      </c>
      <c r="F113" s="130" t="n">
        <v>41593478325.19</v>
      </c>
      <c r="G113" s="130" t="n">
        <v>42999255770.48</v>
      </c>
    </row>
    <row r="114">
      <c r="A114" t="inlineStr">
        <is>
          <t>收到的税费返还</t>
        </is>
      </c>
      <c r="B114" s="130" t="n">
        <v>700945422.78</v>
      </c>
      <c r="C114" s="130" t="n">
        <v>558311109.23</v>
      </c>
      <c r="D114" s="130" t="n">
        <v>283570338.64</v>
      </c>
      <c r="E114" s="130" t="n">
        <v>336386140.58</v>
      </c>
      <c r="F114" s="130" t="n">
        <v>86419197.59</v>
      </c>
      <c r="G114" s="130" t="n">
        <v>175588905.15</v>
      </c>
    </row>
    <row r="115">
      <c r="A115" t="inlineStr">
        <is>
          <t>收到其他与经营活动有关的现金</t>
        </is>
      </c>
      <c r="B115" s="130" t="n">
        <v>3706957106.97</v>
      </c>
      <c r="C115" s="130" t="n">
        <v>4254244661.04</v>
      </c>
      <c r="D115" s="130" t="n">
        <v>5139302203.76</v>
      </c>
      <c r="E115" s="130" t="n">
        <v>6058705746.65</v>
      </c>
      <c r="F115" s="130" t="n">
        <v>2436853678.88</v>
      </c>
      <c r="G115" s="130" t="n">
        <v>3251352500.61</v>
      </c>
    </row>
    <row r="116">
      <c r="A116" t="inlineStr">
        <is>
          <t>经营活动现金流入小计</t>
        </is>
      </c>
      <c r="B116" s="130" t="n">
        <v>85885068234.86</v>
      </c>
      <c r="C116" s="130" t="n">
        <v>87537092151.37</v>
      </c>
      <c r="D116" s="130" t="n">
        <v>91553222790.72</v>
      </c>
      <c r="E116" s="130" t="n">
        <v>98803852622.37</v>
      </c>
      <c r="F116" s="130" t="n">
        <v>44116751201.66</v>
      </c>
      <c r="G116" s="130" t="n">
        <v>46426197176.24</v>
      </c>
    </row>
    <row r="117">
      <c r="A117" t="inlineStr">
        <is>
          <t>购买商品、接受劳务支付的现金</t>
        </is>
      </c>
      <c r="B117" s="130" t="n">
        <v>18254479721.42</v>
      </c>
      <c r="C117" s="130" t="n">
        <v>20905689214.71</v>
      </c>
      <c r="D117" s="130" t="n">
        <v>26103035438.28</v>
      </c>
      <c r="E117" s="130" t="n">
        <v>32049501095.63</v>
      </c>
      <c r="F117" s="130" t="n">
        <v>10354341291.91</v>
      </c>
      <c r="G117" s="130" t="n">
        <v>10945031360.65</v>
      </c>
    </row>
    <row r="118">
      <c r="A118" t="inlineStr">
        <is>
          <t>支付给职工及为职工支付的现金</t>
        </is>
      </c>
      <c r="B118" s="130" t="n">
        <v>7172625574.14</v>
      </c>
      <c r="C118" s="130" t="n">
        <v>8043848298.67</v>
      </c>
      <c r="D118" s="130" t="n">
        <v>8454056762.56</v>
      </c>
      <c r="E118" s="130" t="n">
        <v>9008395228.59</v>
      </c>
      <c r="F118" s="130" t="n">
        <v>3955412076.36</v>
      </c>
      <c r="G118" s="130" t="n">
        <v>3749938815.43</v>
      </c>
    </row>
    <row r="119">
      <c r="A119" t="inlineStr">
        <is>
          <t>支付的各项税费</t>
        </is>
      </c>
      <c r="B119" s="130" t="n">
        <v>11001758763.51</v>
      </c>
      <c r="C119" s="130" t="n">
        <v>13516348936.71</v>
      </c>
      <c r="D119" s="130" t="n">
        <v>14247760299.78</v>
      </c>
      <c r="E119" s="130" t="n">
        <v>18166831517.08</v>
      </c>
      <c r="F119" s="130" t="n">
        <v>9658620244.08</v>
      </c>
      <c r="G119" s="130" t="n">
        <v>11822949174.95</v>
      </c>
    </row>
    <row r="120">
      <c r="A120" t="inlineStr">
        <is>
          <t>支付其他与经营活动有关的现金</t>
        </is>
      </c>
      <c r="B120" s="130" t="n">
        <v>2758386710.45</v>
      </c>
      <c r="C120" s="130" t="n">
        <v>1945130580.69</v>
      </c>
      <c r="D120" s="130" t="n">
        <v>2027837319.04</v>
      </c>
      <c r="E120" s="130" t="n">
        <v>2170727912.54</v>
      </c>
      <c r="F120" s="130" t="n">
        <v>970935830.86</v>
      </c>
      <c r="G120" s="130" t="n">
        <v>1184619403.9</v>
      </c>
    </row>
    <row r="121">
      <c r="A121" t="inlineStr">
        <is>
          <t>经营活动现金流出小计</t>
        </is>
      </c>
      <c r="B121" s="130" t="n">
        <v>39187250769.52</v>
      </c>
      <c r="C121" s="130" t="n">
        <v>44411017030.78</v>
      </c>
      <c r="D121" s="130" t="n">
        <v>50832689819.66</v>
      </c>
      <c r="E121" s="130" t="n">
        <v>61395455753.84</v>
      </c>
      <c r="F121" s="130" t="n">
        <v>24939309443.21</v>
      </c>
      <c r="G121" s="130" t="n">
        <v>27702538754.93</v>
      </c>
    </row>
    <row r="122">
      <c r="A122" t="inlineStr">
        <is>
          <t>经营活动产生的现金流量净额</t>
        </is>
      </c>
      <c r="B122" s="130" t="n">
        <v>46697817465.34</v>
      </c>
      <c r="C122" s="130" t="n">
        <v>43126075120.59</v>
      </c>
      <c r="D122" s="130" t="n">
        <v>40720532971.06</v>
      </c>
      <c r="E122" s="130" t="n">
        <v>37408396868.53</v>
      </c>
      <c r="F122" s="130" t="n">
        <v>19177441758.45</v>
      </c>
      <c r="G122" s="130" t="n">
        <v>18723658421.31</v>
      </c>
    </row>
    <row r="123">
      <c r="A123" t="inlineStr">
        <is>
          <t>收回投资收到的现金</t>
        </is>
      </c>
      <c r="B123" s="130" t="n">
        <v>56496581.26</v>
      </c>
      <c r="C123" s="130" t="n">
        <v>35564864.42</v>
      </c>
      <c r="D123" s="130" t="n">
        <v>19900000</v>
      </c>
      <c r="E123" s="130" t="n">
        <v>479640332.14</v>
      </c>
      <c r="G123" s="130" t="n">
        <v>106893.33</v>
      </c>
    </row>
    <row r="124">
      <c r="A124" t="inlineStr">
        <is>
          <t>取得投资收益收到的现金</t>
        </is>
      </c>
      <c r="B124" s="130" t="n">
        <v>172989063.24</v>
      </c>
      <c r="C124" s="130" t="n">
        <v>171982781.64</v>
      </c>
      <c r="D124" s="130" t="n">
        <v>239071312.1</v>
      </c>
      <c r="E124" s="130" t="n">
        <v>249902216.91</v>
      </c>
      <c r="F124" s="130" t="n">
        <v>63817672.17</v>
      </c>
      <c r="G124" s="130" t="n">
        <v>42076163.81</v>
      </c>
    </row>
    <row r="125">
      <c r="A125" t="inlineStr">
        <is>
          <t>处置固定资产、无形资产和其他长期资产收回的现金净额</t>
        </is>
      </c>
      <c r="B125" s="130" t="n">
        <v>23052797.46</v>
      </c>
      <c r="C125" s="130" t="n">
        <v>126089913.5</v>
      </c>
      <c r="D125" s="130" t="n">
        <v>921075.24</v>
      </c>
      <c r="E125" s="130" t="n">
        <v>65287999.09</v>
      </c>
      <c r="F125" s="130" t="n">
        <v>5066386.24</v>
      </c>
      <c r="G125" s="130" t="n">
        <v>50625881.6</v>
      </c>
    </row>
    <row r="126">
      <c r="A126" t="inlineStr">
        <is>
          <t>收到其他与投资活动有关的现金</t>
        </is>
      </c>
      <c r="B126" s="130" t="n">
        <v>430631021.84</v>
      </c>
      <c r="C126" s="130" t="n">
        <v>729744495.27</v>
      </c>
      <c r="D126" s="130" t="n">
        <v>641438637.9</v>
      </c>
      <c r="E126" s="130" t="n">
        <v>660855168.22</v>
      </c>
      <c r="F126" s="130" t="n">
        <v>246450775.37</v>
      </c>
      <c r="G126" s="130" t="n">
        <v>357591906.04</v>
      </c>
    </row>
    <row r="127">
      <c r="A127" t="inlineStr">
        <is>
          <t>投资活动现金流入小计</t>
        </is>
      </c>
      <c r="B127" s="130" t="n">
        <v>683169463.8</v>
      </c>
      <c r="C127" s="130" t="n">
        <v>1063382054.83</v>
      </c>
      <c r="D127" s="130" t="n">
        <v>901331025.24</v>
      </c>
      <c r="E127" s="130" t="n">
        <v>1455685716.36</v>
      </c>
      <c r="F127" s="130" t="n">
        <v>315334833.78</v>
      </c>
      <c r="G127" s="130" t="n">
        <v>450400844.78</v>
      </c>
    </row>
    <row r="128">
      <c r="A128" t="inlineStr">
        <is>
          <t>购建固定资产、无形资产和其他长期资产支付的现金</t>
        </is>
      </c>
      <c r="B128" s="130" t="n">
        <v>50509690597.17</v>
      </c>
      <c r="C128" s="130" t="n">
        <v>67100346470.6</v>
      </c>
      <c r="D128" s="130" t="n">
        <v>90708324096.21001</v>
      </c>
      <c r="E128" s="130" t="n">
        <v>93683638145.11</v>
      </c>
      <c r="F128" s="130" t="n">
        <v>34603304797.77</v>
      </c>
      <c r="G128" s="130" t="n">
        <v>42998052034.81</v>
      </c>
    </row>
    <row r="129">
      <c r="A129" t="inlineStr">
        <is>
          <t>投资支付的现金</t>
        </is>
      </c>
      <c r="B129" s="130" t="n">
        <v>760988500</v>
      </c>
      <c r="C129" s="130" t="n">
        <v>1682098266</v>
      </c>
      <c r="D129" s="130" t="n">
        <v>1070575622.37</v>
      </c>
      <c r="E129" s="130" t="n">
        <v>1704755449</v>
      </c>
      <c r="F129" s="130" t="n">
        <v>285176619.48</v>
      </c>
      <c r="G129" s="130" t="n">
        <v>585810961</v>
      </c>
    </row>
    <row r="130">
      <c r="A130" t="inlineStr">
        <is>
          <t>取得子公司及其他营业单位支付的现金净额</t>
        </is>
      </c>
      <c r="B130" s="130" t="n">
        <v>2357126231.6</v>
      </c>
      <c r="C130" s="130" t="n">
        <v>3552484513.62</v>
      </c>
      <c r="D130" s="130" t="n">
        <v>2093807198.69</v>
      </c>
      <c r="E130" s="130" t="n">
        <v>150618145.89</v>
      </c>
      <c r="F130" s="130" t="n">
        <v>10867888.31</v>
      </c>
      <c r="G130" s="130" t="n">
        <v>100808297.03</v>
      </c>
    </row>
    <row r="131">
      <c r="A131" t="inlineStr">
        <is>
          <t>支付其他与投资活动有关的现金</t>
        </is>
      </c>
      <c r="B131" s="130" t="n">
        <v>63844725.91</v>
      </c>
      <c r="C131" s="130" t="n">
        <v>439986966.95</v>
      </c>
      <c r="D131" s="130" t="n">
        <v>1973274651.12</v>
      </c>
      <c r="E131" s="130" t="n">
        <v>595177203.65</v>
      </c>
      <c r="F131" s="130" t="n">
        <v>56012242.15</v>
      </c>
      <c r="G131" s="130" t="n">
        <v>475545126.4</v>
      </c>
    </row>
    <row r="132">
      <c r="A132" t="inlineStr">
        <is>
          <t>投资活动现金流出小计</t>
        </is>
      </c>
      <c r="B132" s="130" t="n">
        <v>53691650054.68</v>
      </c>
      <c r="C132" s="130" t="n">
        <v>72774916217.17</v>
      </c>
      <c r="D132" s="130" t="n">
        <v>95845981568.39</v>
      </c>
      <c r="E132" s="130" t="n">
        <v>96134188943.64999</v>
      </c>
      <c r="F132" s="130" t="n">
        <v>34955361547.71</v>
      </c>
      <c r="G132" s="130" t="n">
        <v>44160216419.24</v>
      </c>
    </row>
    <row r="133">
      <c r="A133" t="inlineStr">
        <is>
          <t>投资活动产生的现金流量净额</t>
        </is>
      </c>
      <c r="B133" s="130" t="n">
        <v>-53008480590.88</v>
      </c>
      <c r="C133" s="130" t="n">
        <v>-71711534162.34</v>
      </c>
      <c r="D133" s="130" t="n">
        <v>-94944650543.14999</v>
      </c>
      <c r="E133" s="130" t="n">
        <v>-94678503227.28999</v>
      </c>
      <c r="F133" s="130" t="n">
        <v>-34640026713.93</v>
      </c>
      <c r="G133" s="130" t="n">
        <v>-43709815574.46</v>
      </c>
    </row>
    <row r="134">
      <c r="A134" t="inlineStr">
        <is>
          <t>吸收投资收到的现金</t>
        </is>
      </c>
      <c r="B134" s="130" t="n">
        <v>11176312647.21</v>
      </c>
      <c r="C134" s="130" t="n">
        <v>12035875521.35</v>
      </c>
      <c r="D134" s="130" t="n">
        <v>40934007602.18</v>
      </c>
      <c r="E134" s="130" t="n">
        <v>19524447228.83</v>
      </c>
      <c r="F134" s="130" t="n">
        <v>4863421503.09</v>
      </c>
      <c r="G134" s="130" t="n">
        <v>6011682191.16</v>
      </c>
    </row>
    <row r="135">
      <c r="A135" t="inlineStr">
        <is>
          <t>其中：子公司吸收少数股东投资收到的现金</t>
        </is>
      </c>
      <c r="B135" s="130" t="n">
        <v>10109238802.7</v>
      </c>
      <c r="C135" s="130" t="n">
        <v>11929402584.86</v>
      </c>
      <c r="D135" s="130" t="n">
        <v>26934307612.01</v>
      </c>
      <c r="E135" s="130" t="n">
        <v>18524447228.83</v>
      </c>
      <c r="F135" s="130" t="n">
        <v>4863421503.09</v>
      </c>
      <c r="G135" s="130" t="n">
        <v>6011682191.16</v>
      </c>
    </row>
    <row r="136">
      <c r="A136" t="inlineStr">
        <is>
          <t>取得借款收到的现金</t>
        </is>
      </c>
      <c r="B136" s="130" t="n">
        <v>117161246582.27</v>
      </c>
      <c r="C136" s="130" t="n">
        <v>139987491128.7</v>
      </c>
      <c r="D136" s="130" t="n">
        <v>170142425763.4</v>
      </c>
      <c r="E136" s="130" t="n">
        <v>194827244730.5</v>
      </c>
      <c r="F136" s="130" t="n">
        <v>79492473620.12</v>
      </c>
      <c r="G136" s="130" t="n">
        <v>113223783271.38</v>
      </c>
    </row>
    <row r="137">
      <c r="A137" t="inlineStr">
        <is>
          <t>收到其他与筹资活动有关的现金</t>
        </is>
      </c>
      <c r="B137" s="130" t="n">
        <v>3086106224.44</v>
      </c>
      <c r="C137" s="130" t="n">
        <v>5495244831.09</v>
      </c>
      <c r="D137" s="130" t="n">
        <v>6471180053.05</v>
      </c>
      <c r="E137" s="130" t="n">
        <v>9233200914.290001</v>
      </c>
      <c r="F137" s="130" t="n">
        <v>152218949</v>
      </c>
      <c r="G137" s="130" t="n">
        <v>1116660330.44</v>
      </c>
    </row>
    <row r="138">
      <c r="A138" t="inlineStr">
        <is>
          <t>筹资活动现金流入小计</t>
        </is>
      </c>
      <c r="B138" s="130" t="n">
        <v>131423665453.92</v>
      </c>
      <c r="C138" s="130" t="n">
        <v>157518611481.14</v>
      </c>
      <c r="D138" s="130" t="n">
        <v>217547613418.63</v>
      </c>
      <c r="E138" s="130" t="n">
        <v>223584892873.62</v>
      </c>
      <c r="F138" s="130" t="n">
        <v>84508114072.21001</v>
      </c>
      <c r="G138" s="130" t="n">
        <v>120352125792.98</v>
      </c>
    </row>
    <row r="139">
      <c r="A139" t="inlineStr">
        <is>
          <t>偿还债务支付的现金</t>
        </is>
      </c>
      <c r="B139" s="130" t="n">
        <v>87647725624.78</v>
      </c>
      <c r="C139" s="130" t="n">
        <v>92354277066.97</v>
      </c>
      <c r="D139" s="130" t="n">
        <v>114076620325.25</v>
      </c>
      <c r="E139" s="130" t="n">
        <v>137158015076.04</v>
      </c>
      <c r="F139" s="130" t="n">
        <v>53491598180.39</v>
      </c>
      <c r="G139" s="130" t="n">
        <v>68721669358.66</v>
      </c>
    </row>
    <row r="140">
      <c r="A140" t="inlineStr">
        <is>
          <t>分配股利、利润或偿付利息支付的现金</t>
        </is>
      </c>
      <c r="B140" s="130" t="n">
        <v>22314619870.52</v>
      </c>
      <c r="C140" s="130" t="n">
        <v>20250291556.81</v>
      </c>
      <c r="D140" s="130" t="n">
        <v>21937494773.94</v>
      </c>
      <c r="E140" s="130" t="n">
        <v>20925515342.04</v>
      </c>
      <c r="F140" s="130" t="n">
        <v>11955349894.47</v>
      </c>
      <c r="G140" s="130" t="n">
        <v>10212054023.65</v>
      </c>
    </row>
    <row r="141">
      <c r="A141" t="inlineStr">
        <is>
          <t>其中：子公司支付给少数股东的股利、利润</t>
        </is>
      </c>
      <c r="B141" s="130" t="n">
        <v>5667717771.47</v>
      </c>
      <c r="C141" s="130" t="n">
        <v>6900776533</v>
      </c>
      <c r="D141" s="130" t="n">
        <v>6951248855.94</v>
      </c>
      <c r="E141" s="130" t="n">
        <v>7286848959.8</v>
      </c>
      <c r="F141" s="130" t="n">
        <v>8035880859.69</v>
      </c>
      <c r="G141" s="130" t="n">
        <v>6740325165.74</v>
      </c>
    </row>
    <row r="142">
      <c r="A142" t="inlineStr">
        <is>
          <t>支付其他与筹资活动有关的现金</t>
        </is>
      </c>
      <c r="B142" s="130" t="n">
        <v>12025371402.89</v>
      </c>
      <c r="C142" s="130" t="n">
        <v>22581973211.18</v>
      </c>
      <c r="D142" s="130" t="n">
        <v>17043867745.14</v>
      </c>
      <c r="E142" s="130" t="n">
        <v>12461356617.4</v>
      </c>
      <c r="F142" s="130" t="n">
        <v>783677884.8200001</v>
      </c>
      <c r="G142" s="130" t="n">
        <v>4482565277.91</v>
      </c>
    </row>
    <row r="143">
      <c r="A143" t="inlineStr">
        <is>
          <t>筹资活动现金流出小计</t>
        </is>
      </c>
      <c r="B143" s="130" t="n">
        <v>121987716898.19</v>
      </c>
      <c r="C143" s="130" t="n">
        <v>135186541834.96</v>
      </c>
      <c r="D143" s="130" t="n">
        <v>153057982844.33</v>
      </c>
      <c r="E143" s="130" t="n">
        <v>170544887035.48</v>
      </c>
      <c r="F143" s="130" t="n">
        <v>66230625959.68</v>
      </c>
      <c r="G143" s="130" t="n">
        <v>83416288660.22</v>
      </c>
    </row>
    <row r="144">
      <c r="A144" t="inlineStr">
        <is>
          <t>筹资活动产生的现金流量净额</t>
        </is>
      </c>
      <c r="B144" s="130" t="n">
        <v>9435948555.73</v>
      </c>
      <c r="C144" s="130" t="n">
        <v>22332069646.18</v>
      </c>
      <c r="D144" s="130" t="n">
        <v>64489630574.3</v>
      </c>
      <c r="E144" s="130" t="n">
        <v>53040005838.14</v>
      </c>
      <c r="F144" s="130" t="n">
        <v>18277488112.53</v>
      </c>
      <c r="G144" s="130" t="n">
        <v>36935837132.76</v>
      </c>
    </row>
    <row r="145">
      <c r="A145" t="inlineStr">
        <is>
          <t>四、汇率变动对现金及现金等价物的影响</t>
        </is>
      </c>
      <c r="B145" s="130" t="n">
        <v>-6603672.94</v>
      </c>
      <c r="C145" s="130" t="n">
        <v>-9322432.630000001</v>
      </c>
      <c r="D145" s="130" t="n">
        <v>-18114670.15</v>
      </c>
      <c r="E145" s="130" t="n">
        <v>-8118131.34</v>
      </c>
      <c r="F145" s="130" t="n">
        <v>11883956.69</v>
      </c>
      <c r="G145" s="130" t="n">
        <v>-2292655.37</v>
      </c>
    </row>
    <row r="146">
      <c r="A146" t="inlineStr">
        <is>
          <t>五、现金及现金等价物净增加额</t>
        </is>
      </c>
      <c r="B146" s="130" t="n">
        <v>3118681757.25</v>
      </c>
      <c r="C146" s="130" t="n">
        <v>-6262711828.2</v>
      </c>
      <c r="D146" s="130" t="n">
        <v>10247398332.06</v>
      </c>
      <c r="E146" s="130" t="n">
        <v>-4238218651.96</v>
      </c>
      <c r="F146" s="130" t="n">
        <v>2826787113.74</v>
      </c>
      <c r="G146" s="130" t="n">
        <v>11947387324.24</v>
      </c>
    </row>
    <row r="147">
      <c r="A147" t="inlineStr">
        <is>
          <t>加：期初现金及现金等价物余额</t>
        </is>
      </c>
      <c r="B147" s="130" t="n">
        <v>12466736998.62</v>
      </c>
      <c r="C147" s="130" t="n">
        <v>15585418755.87</v>
      </c>
      <c r="D147" s="130" t="n">
        <v>9322706927.67</v>
      </c>
      <c r="E147" s="130" t="n">
        <v>19570105259.73</v>
      </c>
      <c r="F147" s="130" t="n">
        <v>15331886607.77</v>
      </c>
      <c r="G147" s="130" t="n">
        <v>19570105259.73</v>
      </c>
    </row>
    <row r="148">
      <c r="A148" t="inlineStr">
        <is>
          <t>六、期末现金及现金等价物余额</t>
        </is>
      </c>
      <c r="B148" s="130" t="n">
        <v>15585418755.87</v>
      </c>
      <c r="C148" s="130" t="n">
        <v>9322706927.67</v>
      </c>
      <c r="D148" s="130" t="n">
        <v>19570105259.73</v>
      </c>
      <c r="E148" s="130" t="n">
        <v>15331886607.77</v>
      </c>
      <c r="F148" s="130" t="n">
        <v>18158673721.51</v>
      </c>
      <c r="G148" s="130" t="n">
        <v>31517492583.97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2026-10-02T19:41:28Z</dcterms:created>
  <dcterms:modified xsi:type="dcterms:W3CDTF">2026-10-02T19:41:28Z</dcterms:modified>
</cp:coreProperties>
</file>